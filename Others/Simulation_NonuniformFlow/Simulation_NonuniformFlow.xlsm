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S:\"/>
    </mc:Choice>
  </mc:AlternateContent>
  <bookViews>
    <workbookView xWindow="0" yWindow="0" windowWidth="28800" windowHeight="12240"/>
  </bookViews>
  <sheets>
    <sheet name="Sheet1" sheetId="1" r:id="rId1"/>
    <sheet name="課題１" sheetId="2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89" i="1" l="1"/>
  <c r="H89" i="1" s="1"/>
  <c r="G4" i="1"/>
  <c r="H4" i="1" s="1"/>
  <c r="G5" i="1"/>
  <c r="H5" i="1" s="1"/>
  <c r="G6" i="1"/>
  <c r="H6" i="1" s="1"/>
  <c r="G7" i="1"/>
  <c r="H7" i="1" s="1"/>
  <c r="G8" i="1"/>
  <c r="H8" i="1" s="1"/>
  <c r="G9" i="1"/>
  <c r="H9" i="1" s="1"/>
  <c r="G10" i="1"/>
  <c r="H10" i="1" s="1"/>
  <c r="G11" i="1"/>
  <c r="H11" i="1" s="1"/>
  <c r="G12" i="1"/>
  <c r="H12" i="1" s="1"/>
  <c r="G13" i="1"/>
  <c r="H13" i="1" s="1"/>
  <c r="G14" i="1"/>
  <c r="H14" i="1" s="1"/>
  <c r="G15" i="1"/>
  <c r="H15" i="1" s="1"/>
  <c r="G16" i="1"/>
  <c r="H16" i="1" s="1"/>
  <c r="G17" i="1"/>
  <c r="H17" i="1" s="1"/>
  <c r="G18" i="1"/>
  <c r="H18" i="1" s="1"/>
  <c r="G19" i="1"/>
  <c r="H19" i="1" s="1"/>
  <c r="G20" i="1"/>
  <c r="H20" i="1" s="1"/>
  <c r="G21" i="1"/>
  <c r="H21" i="1" s="1"/>
  <c r="G22" i="1"/>
  <c r="H22" i="1" s="1"/>
  <c r="G23" i="1"/>
  <c r="H23" i="1" s="1"/>
  <c r="G24" i="1"/>
  <c r="H24" i="1" s="1"/>
  <c r="G25" i="1"/>
  <c r="H25" i="1" s="1"/>
  <c r="G26" i="1"/>
  <c r="H26" i="1" s="1"/>
  <c r="G27" i="1"/>
  <c r="H27" i="1" s="1"/>
  <c r="G28" i="1"/>
  <c r="H28" i="1" s="1"/>
  <c r="G29" i="1"/>
  <c r="H29" i="1" s="1"/>
  <c r="G30" i="1"/>
  <c r="H30" i="1" s="1"/>
  <c r="G31" i="1"/>
  <c r="H31" i="1" s="1"/>
  <c r="G32" i="1"/>
  <c r="H32" i="1" s="1"/>
  <c r="G33" i="1"/>
  <c r="H33" i="1" s="1"/>
  <c r="G34" i="1"/>
  <c r="H34" i="1" s="1"/>
  <c r="G35" i="1"/>
  <c r="H35" i="1" s="1"/>
  <c r="G36" i="1"/>
  <c r="H36" i="1" s="1"/>
  <c r="G37" i="1"/>
  <c r="H37" i="1" s="1"/>
  <c r="G38" i="1"/>
  <c r="H38" i="1" s="1"/>
  <c r="G39" i="1"/>
  <c r="H39" i="1" s="1"/>
  <c r="G40" i="1"/>
  <c r="H40" i="1" s="1"/>
  <c r="G41" i="1"/>
  <c r="H41" i="1" s="1"/>
  <c r="G42" i="1"/>
  <c r="H42" i="1" s="1"/>
  <c r="G43" i="1"/>
  <c r="H43" i="1" s="1"/>
  <c r="G44" i="1"/>
  <c r="H44" i="1" s="1"/>
  <c r="G45" i="1"/>
  <c r="H45" i="1" s="1"/>
  <c r="G46" i="1"/>
  <c r="H46" i="1" s="1"/>
  <c r="G47" i="1"/>
  <c r="H47" i="1" s="1"/>
  <c r="G48" i="1"/>
  <c r="H48" i="1" s="1"/>
  <c r="G49" i="1"/>
  <c r="H49" i="1" s="1"/>
  <c r="G50" i="1"/>
  <c r="H50" i="1" s="1"/>
  <c r="G51" i="1"/>
  <c r="H51" i="1" s="1"/>
  <c r="G52" i="1"/>
  <c r="H52" i="1" s="1"/>
  <c r="G53" i="1"/>
  <c r="H53" i="1" s="1"/>
  <c r="G54" i="1"/>
  <c r="H54" i="1" s="1"/>
  <c r="G55" i="1"/>
  <c r="H55" i="1" s="1"/>
  <c r="G56" i="1"/>
  <c r="H56" i="1" s="1"/>
  <c r="G57" i="1"/>
  <c r="H57" i="1" s="1"/>
  <c r="G58" i="1"/>
  <c r="H58" i="1" s="1"/>
  <c r="G59" i="1"/>
  <c r="H59" i="1" s="1"/>
  <c r="G60" i="1"/>
  <c r="H60" i="1" s="1"/>
  <c r="G61" i="1"/>
  <c r="H61" i="1" s="1"/>
  <c r="G62" i="1"/>
  <c r="H62" i="1" s="1"/>
  <c r="G63" i="1"/>
  <c r="H63" i="1" s="1"/>
  <c r="G64" i="1"/>
  <c r="H64" i="1" s="1"/>
  <c r="G65" i="1"/>
  <c r="H65" i="1" s="1"/>
  <c r="G66" i="1"/>
  <c r="H66" i="1" s="1"/>
  <c r="G67" i="1"/>
  <c r="H67" i="1" s="1"/>
  <c r="G68" i="1"/>
  <c r="H68" i="1" s="1"/>
  <c r="G69" i="1"/>
  <c r="H69" i="1" s="1"/>
  <c r="G70" i="1"/>
  <c r="H70" i="1" s="1"/>
  <c r="G71" i="1"/>
  <c r="H71" i="1" s="1"/>
  <c r="G72" i="1"/>
  <c r="H72" i="1" s="1"/>
  <c r="G73" i="1"/>
  <c r="H73" i="1" s="1"/>
  <c r="G74" i="1"/>
  <c r="H74" i="1" s="1"/>
  <c r="G75" i="1"/>
  <c r="H75" i="1" s="1"/>
  <c r="G76" i="1"/>
  <c r="H76" i="1" s="1"/>
  <c r="G77" i="1"/>
  <c r="H77" i="1" s="1"/>
  <c r="G78" i="1"/>
  <c r="H78" i="1" s="1"/>
  <c r="G79" i="1"/>
  <c r="H79" i="1" s="1"/>
  <c r="G80" i="1"/>
  <c r="H80" i="1" s="1"/>
  <c r="G81" i="1"/>
  <c r="H81" i="1" s="1"/>
  <c r="G82" i="1"/>
  <c r="H82" i="1" s="1"/>
  <c r="G83" i="1"/>
  <c r="H83" i="1" s="1"/>
  <c r="G84" i="1"/>
  <c r="H84" i="1" s="1"/>
  <c r="G85" i="1"/>
  <c r="H85" i="1" s="1"/>
  <c r="G86" i="1"/>
  <c r="H86" i="1" s="1"/>
  <c r="G87" i="1"/>
  <c r="H87" i="1" s="1"/>
  <c r="G88" i="1"/>
  <c r="H88" i="1" s="1"/>
  <c r="G90" i="1"/>
  <c r="H90" i="1" s="1"/>
  <c r="G91" i="1"/>
  <c r="H91" i="1" s="1"/>
  <c r="G92" i="1"/>
  <c r="H92" i="1" s="1"/>
  <c r="G93" i="1"/>
  <c r="H93" i="1" s="1"/>
  <c r="G94" i="1"/>
  <c r="H94" i="1" s="1"/>
  <c r="G95" i="1"/>
  <c r="H95" i="1" s="1"/>
  <c r="G96" i="1"/>
  <c r="H96" i="1" s="1"/>
  <c r="G97" i="1"/>
  <c r="H97" i="1" s="1"/>
  <c r="G98" i="1"/>
  <c r="H98" i="1" s="1"/>
  <c r="G99" i="1"/>
  <c r="H99" i="1" s="1"/>
  <c r="G100" i="1"/>
  <c r="H100" i="1" s="1"/>
  <c r="G101" i="1"/>
  <c r="H101" i="1" s="1"/>
  <c r="G102" i="1"/>
  <c r="H102" i="1" s="1"/>
  <c r="G103" i="1"/>
  <c r="H103" i="1" s="1"/>
  <c r="G104" i="1"/>
  <c r="H104" i="1" s="1"/>
  <c r="G105" i="1"/>
  <c r="H105" i="1" s="1"/>
  <c r="G106" i="1"/>
  <c r="H106" i="1" s="1"/>
  <c r="G107" i="1"/>
  <c r="H107" i="1" s="1"/>
  <c r="G108" i="1"/>
  <c r="H108" i="1" s="1"/>
  <c r="G109" i="1"/>
  <c r="H109" i="1" s="1"/>
  <c r="G110" i="1"/>
  <c r="H110" i="1" s="1"/>
  <c r="G111" i="1"/>
  <c r="H111" i="1" s="1"/>
  <c r="G112" i="1"/>
  <c r="H112" i="1" s="1"/>
  <c r="G113" i="1"/>
  <c r="H113" i="1" s="1"/>
  <c r="G114" i="1"/>
  <c r="H114" i="1" s="1"/>
  <c r="G115" i="1"/>
  <c r="H115" i="1" s="1"/>
  <c r="G116" i="1"/>
  <c r="H116" i="1" s="1"/>
  <c r="G117" i="1"/>
  <c r="H117" i="1" s="1"/>
  <c r="G118" i="1"/>
  <c r="H118" i="1" s="1"/>
  <c r="G119" i="1"/>
  <c r="H119" i="1" s="1"/>
  <c r="G120" i="1"/>
  <c r="H120" i="1" s="1"/>
  <c r="G121" i="1"/>
  <c r="H121" i="1" s="1"/>
  <c r="G122" i="1"/>
  <c r="H122" i="1" s="1"/>
  <c r="G123" i="1"/>
  <c r="H123" i="1" s="1"/>
  <c r="G124" i="1"/>
  <c r="H124" i="1" s="1"/>
  <c r="G125" i="1"/>
  <c r="H125" i="1" s="1"/>
  <c r="G126" i="1"/>
  <c r="H126" i="1" s="1"/>
  <c r="G127" i="1"/>
  <c r="H127" i="1" s="1"/>
  <c r="G128" i="1"/>
  <c r="H128" i="1" s="1"/>
  <c r="G129" i="1"/>
  <c r="H129" i="1" s="1"/>
  <c r="G130" i="1"/>
  <c r="H130" i="1" s="1"/>
  <c r="G131" i="1"/>
  <c r="H131" i="1" s="1"/>
  <c r="G132" i="1"/>
  <c r="H132" i="1" s="1"/>
  <c r="G133" i="1"/>
  <c r="H133" i="1" s="1"/>
  <c r="G134" i="1"/>
  <c r="H134" i="1" s="1"/>
  <c r="G135" i="1"/>
  <c r="H135" i="1" s="1"/>
  <c r="G136" i="1"/>
  <c r="H136" i="1" s="1"/>
  <c r="G137" i="1"/>
  <c r="H137" i="1" s="1"/>
  <c r="G138" i="1"/>
  <c r="H138" i="1" s="1"/>
  <c r="G139" i="1"/>
  <c r="H139" i="1" s="1"/>
  <c r="G140" i="1"/>
  <c r="H140" i="1" s="1"/>
  <c r="G141" i="1"/>
  <c r="H141" i="1" s="1"/>
  <c r="G142" i="1"/>
  <c r="H142" i="1" s="1"/>
  <c r="G143" i="1"/>
  <c r="H143" i="1" s="1"/>
  <c r="G144" i="1"/>
  <c r="H144" i="1" s="1"/>
  <c r="G145" i="1"/>
  <c r="H145" i="1" s="1"/>
  <c r="G146" i="1"/>
  <c r="H146" i="1" s="1"/>
  <c r="G147" i="1"/>
  <c r="H147" i="1" s="1"/>
  <c r="G148" i="1"/>
  <c r="H148" i="1" s="1"/>
  <c r="G149" i="1"/>
  <c r="H149" i="1" s="1"/>
  <c r="G150" i="1"/>
  <c r="H150" i="1" s="1"/>
  <c r="G151" i="1"/>
  <c r="H151" i="1" s="1"/>
  <c r="G152" i="1"/>
  <c r="H152" i="1" s="1"/>
  <c r="G153" i="1"/>
  <c r="H153" i="1" s="1"/>
  <c r="G154" i="1"/>
  <c r="H154" i="1" s="1"/>
  <c r="G155" i="1"/>
  <c r="H155" i="1" s="1"/>
  <c r="G156" i="1"/>
  <c r="H156" i="1" s="1"/>
  <c r="G157" i="1"/>
  <c r="H157" i="1" s="1"/>
  <c r="G158" i="1"/>
  <c r="H158" i="1" s="1"/>
  <c r="G159" i="1"/>
  <c r="H159" i="1" s="1"/>
  <c r="G160" i="1"/>
  <c r="H160" i="1" s="1"/>
  <c r="G161" i="1"/>
  <c r="H161" i="1" s="1"/>
  <c r="G162" i="1"/>
  <c r="H162" i="1" s="1"/>
  <c r="G163" i="1"/>
  <c r="H163" i="1" s="1"/>
  <c r="G164" i="1"/>
  <c r="H164" i="1" s="1"/>
  <c r="G165" i="1"/>
  <c r="H165" i="1" s="1"/>
  <c r="G166" i="1"/>
  <c r="H166" i="1" s="1"/>
  <c r="G167" i="1"/>
  <c r="H167" i="1" s="1"/>
  <c r="G168" i="1"/>
  <c r="H168" i="1" s="1"/>
  <c r="G169" i="1"/>
  <c r="H169" i="1" s="1"/>
  <c r="G170" i="1"/>
  <c r="H170" i="1" s="1"/>
  <c r="G171" i="1"/>
  <c r="H171" i="1" s="1"/>
  <c r="G172" i="1"/>
  <c r="H172" i="1" s="1"/>
  <c r="G173" i="1"/>
  <c r="H173" i="1" s="1"/>
  <c r="G174" i="1"/>
  <c r="H174" i="1" s="1"/>
  <c r="G175" i="1"/>
  <c r="H175" i="1" s="1"/>
  <c r="G176" i="1"/>
  <c r="H176" i="1" s="1"/>
  <c r="G177" i="1"/>
  <c r="H177" i="1" s="1"/>
  <c r="G178" i="1"/>
  <c r="H178" i="1" s="1"/>
  <c r="G179" i="1"/>
  <c r="H179" i="1" s="1"/>
  <c r="G180" i="1"/>
  <c r="H180" i="1" s="1"/>
  <c r="G181" i="1"/>
  <c r="H181" i="1" s="1"/>
  <c r="G182" i="1"/>
  <c r="H182" i="1" s="1"/>
  <c r="G183" i="1"/>
  <c r="H183" i="1" s="1"/>
  <c r="G184" i="1"/>
  <c r="H184" i="1" s="1"/>
  <c r="G185" i="1"/>
  <c r="H185" i="1" s="1"/>
  <c r="G186" i="1"/>
  <c r="H186" i="1" s="1"/>
  <c r="G187" i="1"/>
  <c r="H187" i="1" s="1"/>
  <c r="G188" i="1"/>
  <c r="H188" i="1" s="1"/>
  <c r="G189" i="1"/>
  <c r="H189" i="1" s="1"/>
  <c r="G190" i="1"/>
  <c r="H190" i="1" s="1"/>
  <c r="G191" i="1"/>
  <c r="H191" i="1" s="1"/>
  <c r="G192" i="1"/>
  <c r="H192" i="1" s="1"/>
  <c r="G193" i="1"/>
  <c r="H193" i="1" s="1"/>
  <c r="G194" i="1"/>
  <c r="H194" i="1" s="1"/>
  <c r="G195" i="1"/>
  <c r="H195" i="1" s="1"/>
  <c r="G196" i="1"/>
  <c r="H196" i="1" s="1"/>
  <c r="G197" i="1"/>
  <c r="H197" i="1" s="1"/>
  <c r="G198" i="1"/>
  <c r="H198" i="1" s="1"/>
  <c r="G199" i="1"/>
  <c r="H199" i="1" s="1"/>
  <c r="G200" i="1"/>
  <c r="H200" i="1" s="1"/>
  <c r="G201" i="1"/>
  <c r="H201" i="1" s="1"/>
  <c r="G202" i="1"/>
  <c r="H202" i="1" s="1"/>
  <c r="G203" i="1"/>
  <c r="H203" i="1" s="1"/>
  <c r="G3" i="1"/>
  <c r="H3" i="1" s="1"/>
  <c r="I4" i="2"/>
</calcChain>
</file>

<file path=xl/sharedStrings.xml><?xml version="1.0" encoding="utf-8"?>
<sst xmlns="http://schemas.openxmlformats.org/spreadsheetml/2006/main" count="30" uniqueCount="22">
  <si>
    <t>下流端からの距離[m]</t>
  </si>
  <si>
    <t>地盤高[m]</t>
  </si>
  <si>
    <t>水深[m]</t>
  </si>
  <si>
    <t>水位[m]</t>
  </si>
  <si>
    <t>川幅[m]</t>
  </si>
  <si>
    <t>フルード数</t>
  </si>
  <si>
    <t>粗度係数n</t>
    <rPh sb="0" eb="1">
      <t>アラ</t>
    </rPh>
    <rPh sb="1" eb="2">
      <t>ド</t>
    </rPh>
    <rPh sb="2" eb="4">
      <t>ケイスウ</t>
    </rPh>
    <phoneticPr fontId="1"/>
  </si>
  <si>
    <t>河床勾配i(小数)</t>
    <rPh sb="0" eb="2">
      <t>カショウ</t>
    </rPh>
    <rPh sb="2" eb="4">
      <t>コウバイ</t>
    </rPh>
    <rPh sb="6" eb="8">
      <t>ショウスウ</t>
    </rPh>
    <phoneticPr fontId="1"/>
  </si>
  <si>
    <t>川幅B[m]</t>
    <rPh sb="0" eb="2">
      <t>カワハバ</t>
    </rPh>
    <phoneticPr fontId="1"/>
  </si>
  <si>
    <t>流量Q[m3/s]</t>
    <rPh sb="0" eb="2">
      <t>リュウリョウ</t>
    </rPh>
    <phoneticPr fontId="1"/>
  </si>
  <si>
    <t>計算間隔Δx[m]</t>
    <rPh sb="0" eb="2">
      <t>ケイサン</t>
    </rPh>
    <rPh sb="2" eb="4">
      <t>カンカク</t>
    </rPh>
    <phoneticPr fontId="1"/>
  </si>
  <si>
    <t>計算範囲L[m]</t>
    <rPh sb="0" eb="2">
      <t>ケイサン</t>
    </rPh>
    <rPh sb="2" eb="4">
      <t>ハンイ</t>
    </rPh>
    <phoneticPr fontId="1"/>
  </si>
  <si>
    <t>下流端の地盤高z[m]</t>
    <rPh sb="0" eb="2">
      <t>カリュウ</t>
    </rPh>
    <rPh sb="2" eb="3">
      <t>ハシ</t>
    </rPh>
    <rPh sb="4" eb="6">
      <t>ジバン</t>
    </rPh>
    <rPh sb="6" eb="7">
      <t>タカ</t>
    </rPh>
    <phoneticPr fontId="1"/>
  </si>
  <si>
    <t>下流端の水深h[m]</t>
    <rPh sb="4" eb="6">
      <t>スイシン</t>
    </rPh>
    <phoneticPr fontId="1"/>
  </si>
  <si>
    <t>表1 計算結果</t>
    <rPh sb="0" eb="1">
      <t>ヒョウ</t>
    </rPh>
    <rPh sb="3" eb="5">
      <t>ケイサン</t>
    </rPh>
    <rPh sb="5" eb="7">
      <t>ケッカ</t>
    </rPh>
    <phoneticPr fontId="1"/>
  </si>
  <si>
    <t>地盤高[m]</t>
    <phoneticPr fontId="1"/>
  </si>
  <si>
    <t>水深[m]</t>
    <phoneticPr fontId="1"/>
  </si>
  <si>
    <t>川幅[m]</t>
    <phoneticPr fontId="1"/>
  </si>
  <si>
    <t>水位[m]</t>
    <phoneticPr fontId="1"/>
  </si>
  <si>
    <t>フルード数</t>
    <phoneticPr fontId="1"/>
  </si>
  <si>
    <t>下流端からの距離[m]</t>
    <phoneticPr fontId="1"/>
  </si>
  <si>
    <t>表　　計算結果</t>
    <rPh sb="0" eb="1">
      <t>ヒョウ</t>
    </rPh>
    <rPh sb="3" eb="5">
      <t>ケイサン</t>
    </rPh>
    <rPh sb="5" eb="7">
      <t>ケッカ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</si>
</sst>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0_ "/>
    <numFmt numFmtId="177" formatCode="0.000_);[Red]\(0.000\)"/>
  </numFmts>
  <fonts count="4" x14ac:knownFonts="1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</font>
    <font>
      <sz val="12"/>
      <color theme="1"/>
      <name val="HGPｺﾞｼｯｸE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176" fontId="0" fillId="0" borderId="3" xfId="0" applyNumberFormat="1" applyBorder="1">
      <alignment vertical="center"/>
    </xf>
    <xf numFmtId="0" fontId="0" fillId="0" borderId="4" xfId="0" applyBorder="1">
      <alignment vertical="center"/>
    </xf>
    <xf numFmtId="176" fontId="0" fillId="0" borderId="5" xfId="0" applyNumberFormat="1" applyBorder="1">
      <alignment vertical="center"/>
    </xf>
    <xf numFmtId="0" fontId="0" fillId="0" borderId="5" xfId="0" applyBorder="1">
      <alignment vertical="center"/>
    </xf>
    <xf numFmtId="176" fontId="0" fillId="0" borderId="6" xfId="0" applyNumberFormat="1" applyBorder="1">
      <alignment vertical="center"/>
    </xf>
    <xf numFmtId="0" fontId="0" fillId="0" borderId="7" xfId="0" applyBorder="1">
      <alignment vertical="center"/>
    </xf>
    <xf numFmtId="176" fontId="0" fillId="0" borderId="8" xfId="0" applyNumberFormat="1" applyBorder="1">
      <alignment vertical="center"/>
    </xf>
    <xf numFmtId="0" fontId="0" fillId="0" borderId="8" xfId="0" applyBorder="1">
      <alignment vertical="center"/>
    </xf>
    <xf numFmtId="176" fontId="0" fillId="0" borderId="9" xfId="0" applyNumberFormat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0" xfId="0" applyBorder="1">
      <alignment vertical="center"/>
    </xf>
    <xf numFmtId="0" fontId="0" fillId="0" borderId="13" xfId="0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0" fillId="0" borderId="0" xfId="0" applyFill="1">
      <alignment vertical="center"/>
    </xf>
    <xf numFmtId="177" fontId="0" fillId="0" borderId="0" xfId="0" applyNumberFormat="1">
      <alignment vertical="center"/>
    </xf>
    <xf numFmtId="177" fontId="0" fillId="0" borderId="1" xfId="0" applyNumberFormat="1" applyBorder="1">
      <alignment vertical="center"/>
    </xf>
    <xf numFmtId="177" fontId="0" fillId="0" borderId="3" xfId="0" applyNumberFormat="1" applyBorder="1">
      <alignment vertical="center"/>
    </xf>
    <xf numFmtId="177" fontId="0" fillId="0" borderId="5" xfId="0" applyNumberFormat="1" applyBorder="1">
      <alignment vertical="center"/>
    </xf>
    <xf numFmtId="177" fontId="0" fillId="0" borderId="6" xfId="0" applyNumberFormat="1" applyBorder="1">
      <alignment vertical="center"/>
    </xf>
    <xf numFmtId="177" fontId="0" fillId="0" borderId="8" xfId="0" applyNumberFormat="1" applyBorder="1">
      <alignment vertical="center"/>
    </xf>
    <xf numFmtId="177" fontId="0" fillId="0" borderId="9" xfId="0" applyNumberFormat="1" applyBorder="1">
      <alignment vertical="center"/>
    </xf>
    <xf numFmtId="176" fontId="0" fillId="0" borderId="11" xfId="0" applyNumberFormat="1" applyBorder="1">
      <alignment vertical="center"/>
    </xf>
    <xf numFmtId="177" fontId="0" fillId="0" borderId="11" xfId="0" applyNumberFormat="1" applyBorder="1">
      <alignment vertical="center"/>
    </xf>
    <xf numFmtId="177" fontId="0" fillId="0" borderId="12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94452312049751"/>
          <c:y val="6.4150309179693416E-2"/>
          <c:w val="0.74891693861215447"/>
          <c:h val="0.87169938164061311"/>
        </c:manualLayout>
      </c:layout>
      <c:scatterChart>
        <c:scatterStyle val="lineMarker"/>
        <c:varyColors val="0"/>
        <c:ser>
          <c:idx val="1"/>
          <c:order val="0"/>
          <c:tx>
            <c:v>水位</c:v>
          </c:tx>
          <c:marker>
            <c:symbol val="none"/>
          </c:marker>
          <c:xVal>
            <c:numRef>
              <c:f>Sheet1!$A$3:$A$203</c:f>
              <c:numCache>
                <c:formatCode>General</c:formatCode>
                <c:ptCount val="2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</c:numCache>
            </c:numRef>
          </c:xVal>
          <c:yVal>
            <c:numRef>
              <c:f>Sheet1!$D$3:$D$203</c:f>
              <c:numCache>
                <c:formatCode>General</c:formatCode>
                <c:ptCount val="201"/>
                <c:pt idx="0">
                  <c:v>5</c:v>
                </c:pt>
                <c:pt idx="1">
                  <c:v>5.0069808959960938</c:v>
                </c:pt>
                <c:pt idx="2">
                  <c:v>5.0138826370239258</c:v>
                </c:pt>
                <c:pt idx="3">
                  <c:v>5.0207056999206543</c:v>
                </c:pt>
                <c:pt idx="4">
                  <c:v>5.0274524688720703</c:v>
                </c:pt>
                <c:pt idx="5">
                  <c:v>5.0338635444641113</c:v>
                </c:pt>
                <c:pt idx="6">
                  <c:v>5.0399880409240723</c:v>
                </c:pt>
                <c:pt idx="7">
                  <c:v>5.0461287498474121</c:v>
                </c:pt>
                <c:pt idx="8">
                  <c:v>5.0522856712341309</c:v>
                </c:pt>
                <c:pt idx="9">
                  <c:v>5.0584588050842285</c:v>
                </c:pt>
                <c:pt idx="10">
                  <c:v>5.0649089813232422</c:v>
                </c:pt>
                <c:pt idx="11">
                  <c:v>5.0713310241699219</c:v>
                </c:pt>
                <c:pt idx="12">
                  <c:v>5.0774669647216797</c:v>
                </c:pt>
                <c:pt idx="13">
                  <c:v>5.0836181640625</c:v>
                </c:pt>
                <c:pt idx="14">
                  <c:v>5.0897860527038574</c:v>
                </c:pt>
                <c:pt idx="15">
                  <c:v>5.0972743034362793</c:v>
                </c:pt>
                <c:pt idx="16">
                  <c:v>5.1045327186584473</c:v>
                </c:pt>
                <c:pt idx="17">
                  <c:v>5.1118178367614746</c:v>
                </c:pt>
                <c:pt idx="18">
                  <c:v>5.1188392639160156</c:v>
                </c:pt>
                <c:pt idx="19">
                  <c:v>5.1256113052368164</c:v>
                </c:pt>
                <c:pt idx="20">
                  <c:v>5.1332669258117676</c:v>
                </c:pt>
                <c:pt idx="21">
                  <c:v>5.1383247375488281</c:v>
                </c:pt>
                <c:pt idx="22">
                  <c:v>5.1412596702575684</c:v>
                </c:pt>
                <c:pt idx="23">
                  <c:v>5.1421737670898438</c:v>
                </c:pt>
                <c:pt idx="24">
                  <c:v>5.1470293998718262</c:v>
                </c:pt>
                <c:pt idx="25">
                  <c:v>5.1530590057373047</c:v>
                </c:pt>
                <c:pt idx="26">
                  <c:v>5.1583371162414551</c:v>
                </c:pt>
                <c:pt idx="27">
                  <c:v>5.1634817123413086</c:v>
                </c:pt>
                <c:pt idx="28">
                  <c:v>5.1679859161376953</c:v>
                </c:pt>
                <c:pt idx="29">
                  <c:v>5.1719026565551758</c:v>
                </c:pt>
                <c:pt idx="30">
                  <c:v>5.1776494979858398</c:v>
                </c:pt>
                <c:pt idx="31">
                  <c:v>5.1873459815979004</c:v>
                </c:pt>
                <c:pt idx="32">
                  <c:v>5.1959924697875977</c:v>
                </c:pt>
                <c:pt idx="33">
                  <c:v>5.2057924270629883</c:v>
                </c:pt>
                <c:pt idx="34">
                  <c:v>5.214148998260498</c:v>
                </c:pt>
                <c:pt idx="35">
                  <c:v>5.221616268157959</c:v>
                </c:pt>
                <c:pt idx="36">
                  <c:v>5.2286005020141602</c:v>
                </c:pt>
                <c:pt idx="37">
                  <c:v>5.2391362190246582</c:v>
                </c:pt>
                <c:pt idx="38">
                  <c:v>5.2445034980773926</c:v>
                </c:pt>
                <c:pt idx="39">
                  <c:v>5.2520713806152344</c:v>
                </c:pt>
                <c:pt idx="40">
                  <c:v>5.2591614723205566</c:v>
                </c:pt>
                <c:pt idx="41">
                  <c:v>5.2638411521911621</c:v>
                </c:pt>
                <c:pt idx="42">
                  <c:v>5.2675228118896484</c:v>
                </c:pt>
                <c:pt idx="43">
                  <c:v>5.2713141441345215</c:v>
                </c:pt>
                <c:pt idx="44">
                  <c:v>5.2793583869934082</c:v>
                </c:pt>
                <c:pt idx="45">
                  <c:v>5.2847943305969238</c:v>
                </c:pt>
                <c:pt idx="46">
                  <c:v>5.288393497467041</c:v>
                </c:pt>
                <c:pt idx="47">
                  <c:v>5.2926392555236816</c:v>
                </c:pt>
                <c:pt idx="48">
                  <c:v>5.2951993942260742</c:v>
                </c:pt>
                <c:pt idx="49">
                  <c:v>5.3013119697570801</c:v>
                </c:pt>
                <c:pt idx="50">
                  <c:v>5.307347297668457</c:v>
                </c:pt>
                <c:pt idx="51">
                  <c:v>5.3107147216796875</c:v>
                </c:pt>
                <c:pt idx="52">
                  <c:v>5.3143672943115234</c:v>
                </c:pt>
                <c:pt idx="53">
                  <c:v>5.317720890045166</c:v>
                </c:pt>
                <c:pt idx="54">
                  <c:v>5.3204107284545898</c:v>
                </c:pt>
                <c:pt idx="55">
                  <c:v>5.3232817649841309</c:v>
                </c:pt>
                <c:pt idx="56">
                  <c:v>5.3274426460266113</c:v>
                </c:pt>
                <c:pt idx="57">
                  <c:v>5.3317303657531738</c:v>
                </c:pt>
                <c:pt idx="58">
                  <c:v>5.3377580642700195</c:v>
                </c:pt>
                <c:pt idx="59">
                  <c:v>5.3423280715942383</c:v>
                </c:pt>
                <c:pt idx="60">
                  <c:v>5.3472366333007813</c:v>
                </c:pt>
                <c:pt idx="61">
                  <c:v>5.3505868911743164</c:v>
                </c:pt>
                <c:pt idx="62">
                  <c:v>5.3541765213012695</c:v>
                </c:pt>
                <c:pt idx="63">
                  <c:v>5.3580265045166016</c:v>
                </c:pt>
                <c:pt idx="64">
                  <c:v>5.3621611595153809</c:v>
                </c:pt>
                <c:pt idx="65">
                  <c:v>5.3666067123413086</c:v>
                </c:pt>
                <c:pt idx="66">
                  <c:v>5.3682765960693359</c:v>
                </c:pt>
                <c:pt idx="67">
                  <c:v>5.3703455924987793</c:v>
                </c:pt>
                <c:pt idx="68">
                  <c:v>5.3729228973388672</c:v>
                </c:pt>
                <c:pt idx="69">
                  <c:v>5.3807840347290039</c:v>
                </c:pt>
                <c:pt idx="70">
                  <c:v>5.3893308639526367</c:v>
                </c:pt>
                <c:pt idx="71">
                  <c:v>5.3986372947692871</c:v>
                </c:pt>
                <c:pt idx="72">
                  <c:v>5.4087858200073242</c:v>
                </c:pt>
                <c:pt idx="73">
                  <c:v>5.419867992401123</c:v>
                </c:pt>
                <c:pt idx="74">
                  <c:v>5.4319868087768555</c:v>
                </c:pt>
                <c:pt idx="75">
                  <c:v>5.4452567100524902</c:v>
                </c:pt>
                <c:pt idx="76">
                  <c:v>5.459805965423584</c:v>
                </c:pt>
                <c:pt idx="77">
                  <c:v>5.4757776260375977</c:v>
                </c:pt>
                <c:pt idx="78">
                  <c:v>5.5108776092529297</c:v>
                </c:pt>
                <c:pt idx="79">
                  <c:v>5.5259790420532227</c:v>
                </c:pt>
                <c:pt idx="80">
                  <c:v>5.5509519577026367</c:v>
                </c:pt>
                <c:pt idx="81">
                  <c:v>5.5670804977416992</c:v>
                </c:pt>
                <c:pt idx="82">
                  <c:v>5.5848064422607422</c:v>
                </c:pt>
                <c:pt idx="83">
                  <c:v>5.6043062210083008</c:v>
                </c:pt>
                <c:pt idx="84">
                  <c:v>5.6257734298706055</c:v>
                </c:pt>
                <c:pt idx="85">
                  <c:v>5.6494169235229492</c:v>
                </c:pt>
                <c:pt idx="86">
                  <c:v>5.6754636764526367</c:v>
                </c:pt>
                <c:pt idx="87">
                  <c:v>5.7041535377502441</c:v>
                </c:pt>
                <c:pt idx="88">
                  <c:v>5.7357378005981445</c:v>
                </c:pt>
                <c:pt idx="89">
                  <c:v>5.7987661361694336</c:v>
                </c:pt>
                <c:pt idx="90">
                  <c:v>5.8392200469970703</c:v>
                </c:pt>
                <c:pt idx="91">
                  <c:v>5.8777294158935547</c:v>
                </c:pt>
                <c:pt idx="92">
                  <c:v>5.9145040512084961</c:v>
                </c:pt>
                <c:pt idx="93">
                  <c:v>5.9384832382202148</c:v>
                </c:pt>
                <c:pt idx="94">
                  <c:v>5.964900016784668</c:v>
                </c:pt>
                <c:pt idx="95">
                  <c:v>6.0188159942626953</c:v>
                </c:pt>
                <c:pt idx="96">
                  <c:v>6.0650386810302734</c:v>
                </c:pt>
                <c:pt idx="97">
                  <c:v>6.10443115234375</c:v>
                </c:pt>
                <c:pt idx="98">
                  <c:v>6.1214218139648438</c:v>
                </c:pt>
                <c:pt idx="99">
                  <c:v>6.1493253707885742</c:v>
                </c:pt>
                <c:pt idx="100">
                  <c:v>6.1764039993286133</c:v>
                </c:pt>
                <c:pt idx="101">
                  <c:v>6.1837201118469238</c:v>
                </c:pt>
                <c:pt idx="102">
                  <c:v>6.1934413909912109</c:v>
                </c:pt>
                <c:pt idx="103">
                  <c:v>6.2065410614013672</c:v>
                </c:pt>
                <c:pt idx="104">
                  <c:v>6.2244749069213867</c:v>
                </c:pt>
                <c:pt idx="105">
                  <c:v>6.2494516372680664</c:v>
                </c:pt>
                <c:pt idx="106">
                  <c:v>6.2848281860351563</c:v>
                </c:pt>
                <c:pt idx="107">
                  <c:v>6.3356037139892578</c:v>
                </c:pt>
                <c:pt idx="108">
                  <c:v>6.4086380004882813</c:v>
                </c:pt>
                <c:pt idx="109">
                  <c:v>6.5114784240722656</c:v>
                </c:pt>
                <c:pt idx="110">
                  <c:v>6.7052764892578125</c:v>
                </c:pt>
                <c:pt idx="111">
                  <c:v>6.8991298675537109</c:v>
                </c:pt>
                <c:pt idx="112">
                  <c:v>7.0579853057861328</c:v>
                </c:pt>
                <c:pt idx="113">
                  <c:v>7.1204414367675781</c:v>
                </c:pt>
                <c:pt idx="114">
                  <c:v>7.1871089935302734</c:v>
                </c:pt>
                <c:pt idx="115">
                  <c:v>7.2578420639038086</c:v>
                </c:pt>
                <c:pt idx="116">
                  <c:v>7.3803997039794922</c:v>
                </c:pt>
                <c:pt idx="117">
                  <c:v>7.4686088562011719</c:v>
                </c:pt>
                <c:pt idx="118">
                  <c:v>7.537203311920166</c:v>
                </c:pt>
                <c:pt idx="119">
                  <c:v>7.5515670776367188</c:v>
                </c:pt>
                <c:pt idx="120">
                  <c:v>7.6216793060302734</c:v>
                </c:pt>
                <c:pt idx="121">
                  <c:v>7.6525173187255859</c:v>
                </c:pt>
                <c:pt idx="122">
                  <c:v>7.6864428520202637</c:v>
                </c:pt>
                <c:pt idx="123">
                  <c:v>7.7237110137939453</c:v>
                </c:pt>
                <c:pt idx="124">
                  <c:v>7.7645688056945801</c:v>
                </c:pt>
                <c:pt idx="125">
                  <c:v>7.8092451095581055</c:v>
                </c:pt>
                <c:pt idx="126">
                  <c:v>7.8579368591308594</c:v>
                </c:pt>
                <c:pt idx="127">
                  <c:v>7.9107942581176758</c:v>
                </c:pt>
                <c:pt idx="128">
                  <c:v>7.9679126739501953</c:v>
                </c:pt>
                <c:pt idx="129">
                  <c:v>8.0293159484863281</c:v>
                </c:pt>
                <c:pt idx="130">
                  <c:v>8.1197671890258789</c:v>
                </c:pt>
                <c:pt idx="131">
                  <c:v>8.1760396957397461</c:v>
                </c:pt>
                <c:pt idx="132">
                  <c:v>8.2095212936401367</c:v>
                </c:pt>
                <c:pt idx="133">
                  <c:v>8.2575006484985352</c:v>
                </c:pt>
                <c:pt idx="134">
                  <c:v>8.3265714645385742</c:v>
                </c:pt>
                <c:pt idx="135">
                  <c:v>8.4243602752685547</c:v>
                </c:pt>
                <c:pt idx="136">
                  <c:v>8.5558977127075195</c:v>
                </c:pt>
                <c:pt idx="137">
                  <c:v>8.7190303802490234</c:v>
                </c:pt>
                <c:pt idx="138">
                  <c:v>8.9020156860351563</c:v>
                </c:pt>
                <c:pt idx="139">
                  <c:v>9.0952787399291992</c:v>
                </c:pt>
                <c:pt idx="140">
                  <c:v>9.4035615921020508</c:v>
                </c:pt>
                <c:pt idx="141">
                  <c:v>9.5276565551757813</c:v>
                </c:pt>
                <c:pt idx="142">
                  <c:v>9.6453971862792969</c:v>
                </c:pt>
                <c:pt idx="143">
                  <c:v>9.7587423324584961</c:v>
                </c:pt>
                <c:pt idx="144">
                  <c:v>9.8689289093017578</c:v>
                </c:pt>
                <c:pt idx="145">
                  <c:v>9.9767837524414063</c:v>
                </c:pt>
                <c:pt idx="146">
                  <c:v>10.082887649536133</c:v>
                </c:pt>
                <c:pt idx="147">
                  <c:v>10.187658309936523</c:v>
                </c:pt>
                <c:pt idx="148">
                  <c:v>10.291401863098145</c:v>
                </c:pt>
                <c:pt idx="149">
                  <c:v>10.394350051879883</c:v>
                </c:pt>
                <c:pt idx="150">
                  <c:v>10.457355499267578</c:v>
                </c:pt>
                <c:pt idx="151">
                  <c:v>10.661778450012207</c:v>
                </c:pt>
                <c:pt idx="152">
                  <c:v>10.735828399658203</c:v>
                </c:pt>
                <c:pt idx="153">
                  <c:v>10.813499450683594</c:v>
                </c:pt>
                <c:pt idx="154">
                  <c:v>10.894479751586914</c:v>
                </c:pt>
                <c:pt idx="155">
                  <c:v>10.978431701660156</c:v>
                </c:pt>
                <c:pt idx="156">
                  <c:v>11.065008163452148</c:v>
                </c:pt>
                <c:pt idx="157">
                  <c:v>11.153866767883301</c:v>
                </c:pt>
                <c:pt idx="158">
                  <c:v>11.298752784729004</c:v>
                </c:pt>
                <c:pt idx="159">
                  <c:v>11.379636764526367</c:v>
                </c:pt>
                <c:pt idx="160">
                  <c:v>11.451046943664551</c:v>
                </c:pt>
                <c:pt idx="161">
                  <c:v>11.474802017211914</c:v>
                </c:pt>
                <c:pt idx="162">
                  <c:v>11.508369445800781</c:v>
                </c:pt>
                <c:pt idx="163">
                  <c:v>11.556474685668945</c:v>
                </c:pt>
                <c:pt idx="164">
                  <c:v>11.625724792480469</c:v>
                </c:pt>
                <c:pt idx="165">
                  <c:v>11.723745346069336</c:v>
                </c:pt>
                <c:pt idx="166">
                  <c:v>11.855526924133301</c:v>
                </c:pt>
                <c:pt idx="167">
                  <c:v>12.018844604492188</c:v>
                </c:pt>
                <c:pt idx="168">
                  <c:v>12.201937675476074</c:v>
                </c:pt>
                <c:pt idx="169">
                  <c:v>12.395249366760254</c:v>
                </c:pt>
                <c:pt idx="170">
                  <c:v>12.656508445739746</c:v>
                </c:pt>
                <c:pt idx="171">
                  <c:v>12.830116271972656</c:v>
                </c:pt>
                <c:pt idx="172">
                  <c:v>12.97676944732666</c:v>
                </c:pt>
                <c:pt idx="173">
                  <c:v>13.108497619628906</c:v>
                </c:pt>
                <c:pt idx="174">
                  <c:v>13.231252670288086</c:v>
                </c:pt>
                <c:pt idx="175">
                  <c:v>13.34808349609375</c:v>
                </c:pt>
                <c:pt idx="176">
                  <c:v>13.460783004760742</c:v>
                </c:pt>
                <c:pt idx="177">
                  <c:v>13.570496559143066</c:v>
                </c:pt>
                <c:pt idx="178">
                  <c:v>13.677999496459961</c:v>
                </c:pt>
                <c:pt idx="179">
                  <c:v>13.816073417663574</c:v>
                </c:pt>
                <c:pt idx="180">
                  <c:v>13.947006225585938</c:v>
                </c:pt>
                <c:pt idx="181">
                  <c:v>14.02204418182373</c:v>
                </c:pt>
                <c:pt idx="182">
                  <c:v>14.069765090942383</c:v>
                </c:pt>
                <c:pt idx="183">
                  <c:v>14.097516059875488</c:v>
                </c:pt>
                <c:pt idx="184">
                  <c:v>14.137008666992188</c:v>
                </c:pt>
                <c:pt idx="185">
                  <c:v>14.193822860717773</c:v>
                </c:pt>
                <c:pt idx="186">
                  <c:v>14.275269508361816</c:v>
                </c:pt>
                <c:pt idx="187">
                  <c:v>14.313579559326172</c:v>
                </c:pt>
                <c:pt idx="188">
                  <c:v>14.467245101928711</c:v>
                </c:pt>
                <c:pt idx="189">
                  <c:v>14.797622680664063</c:v>
                </c:pt>
                <c:pt idx="190">
                  <c:v>15.183980941772461</c:v>
                </c:pt>
                <c:pt idx="191">
                  <c:v>15.453206062316895</c:v>
                </c:pt>
                <c:pt idx="192">
                  <c:v>15.628201484680176</c:v>
                </c:pt>
                <c:pt idx="193">
                  <c:v>15.775516510009766</c:v>
                </c:pt>
                <c:pt idx="194">
                  <c:v>15.907617568969727</c:v>
                </c:pt>
                <c:pt idx="195">
                  <c:v>16.030609130859375</c:v>
                </c:pt>
                <c:pt idx="196">
                  <c:v>16.147602081298828</c:v>
                </c:pt>
                <c:pt idx="197">
                  <c:v>16.260417938232422</c:v>
                </c:pt>
                <c:pt idx="198">
                  <c:v>16.370216369628906</c:v>
                </c:pt>
                <c:pt idx="199">
                  <c:v>16.537179946899414</c:v>
                </c:pt>
                <c:pt idx="200">
                  <c:v>16.626472473144531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2F6-4A7E-AEB9-E9C81BAD9BC6}"/>
            </c:ext>
          </c:extLst>
        </c:ser>
        <c:ser>
          <c:idx val="0"/>
          <c:order val="1"/>
          <c:tx>
            <c:v>地盤高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Sheet1!$A$3:$A$203</c:f>
              <c:numCache>
                <c:formatCode>General</c:formatCode>
                <c:ptCount val="2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</c:numCache>
            </c:numRef>
          </c:xVal>
          <c:yVal>
            <c:numRef>
              <c:f>Sheet1!$B$3:$B$203</c:f>
              <c:numCache>
                <c:formatCode>0.000_ </c:formatCode>
                <c:ptCount val="201"/>
                <c:pt idx="0">
                  <c:v>0</c:v>
                </c:pt>
                <c:pt idx="1">
                  <c:v>-0.01</c:v>
                </c:pt>
                <c:pt idx="2">
                  <c:v>-0.02</c:v>
                </c:pt>
                <c:pt idx="3">
                  <c:v>-0.03</c:v>
                </c:pt>
                <c:pt idx="4">
                  <c:v>-0.04</c:v>
                </c:pt>
                <c:pt idx="5">
                  <c:v>-0.04</c:v>
                </c:pt>
                <c:pt idx="6">
                  <c:v>-0.03</c:v>
                </c:pt>
                <c:pt idx="7">
                  <c:v>-0.02</c:v>
                </c:pt>
                <c:pt idx="8">
                  <c:v>-0.01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0.01</c:v>
                </c:pt>
                <c:pt idx="13">
                  <c:v>0.02</c:v>
                </c:pt>
                <c:pt idx="14">
                  <c:v>0.03</c:v>
                </c:pt>
                <c:pt idx="15">
                  <c:v>-0.01</c:v>
                </c:pt>
                <c:pt idx="16">
                  <c:v>-0.05</c:v>
                </c:pt>
                <c:pt idx="17">
                  <c:v>-0.1</c:v>
                </c:pt>
                <c:pt idx="18">
                  <c:v>-0.15</c:v>
                </c:pt>
                <c:pt idx="19">
                  <c:v>-0.2</c:v>
                </c:pt>
                <c:pt idx="20">
                  <c:v>-0.3</c:v>
                </c:pt>
                <c:pt idx="21">
                  <c:v>-0.3</c:v>
                </c:pt>
                <c:pt idx="22">
                  <c:v>-0.2</c:v>
                </c:pt>
                <c:pt idx="23">
                  <c:v>0</c:v>
                </c:pt>
                <c:pt idx="24">
                  <c:v>0.05</c:v>
                </c:pt>
                <c:pt idx="25">
                  <c:v>0.06</c:v>
                </c:pt>
                <c:pt idx="26">
                  <c:v>0.1</c:v>
                </c:pt>
                <c:pt idx="27">
                  <c:v>0.15</c:v>
                </c:pt>
                <c:pt idx="28">
                  <c:v>0.23</c:v>
                </c:pt>
                <c:pt idx="29">
                  <c:v>0.34</c:v>
                </c:pt>
                <c:pt idx="30">
                  <c:v>0.4</c:v>
                </c:pt>
                <c:pt idx="31">
                  <c:v>0.34</c:v>
                </c:pt>
                <c:pt idx="32">
                  <c:v>0.3</c:v>
                </c:pt>
                <c:pt idx="33">
                  <c:v>0.21</c:v>
                </c:pt>
                <c:pt idx="34">
                  <c:v>0.15</c:v>
                </c:pt>
                <c:pt idx="35">
                  <c:v>0.11</c:v>
                </c:pt>
                <c:pt idx="36">
                  <c:v>0.08</c:v>
                </c:pt>
                <c:pt idx="37">
                  <c:v>-0.1</c:v>
                </c:pt>
                <c:pt idx="38">
                  <c:v>-0.1</c:v>
                </c:pt>
                <c:pt idx="39">
                  <c:v>-0.2</c:v>
                </c:pt>
                <c:pt idx="40">
                  <c:v>-0.3</c:v>
                </c:pt>
                <c:pt idx="41">
                  <c:v>-0.3</c:v>
                </c:pt>
                <c:pt idx="42">
                  <c:v>-0.25</c:v>
                </c:pt>
                <c:pt idx="43">
                  <c:v>-0.2</c:v>
                </c:pt>
                <c:pt idx="44">
                  <c:v>-0.35</c:v>
                </c:pt>
                <c:pt idx="45">
                  <c:v>-0.4</c:v>
                </c:pt>
                <c:pt idx="46">
                  <c:v>-0.36</c:v>
                </c:pt>
                <c:pt idx="47">
                  <c:v>-0.35</c:v>
                </c:pt>
                <c:pt idx="48">
                  <c:v>-0.25</c:v>
                </c:pt>
                <c:pt idx="49">
                  <c:v>-0.32</c:v>
                </c:pt>
                <c:pt idx="50">
                  <c:v>-0.4</c:v>
                </c:pt>
                <c:pt idx="51">
                  <c:v>-0.35</c:v>
                </c:pt>
                <c:pt idx="52">
                  <c:v>-0.31</c:v>
                </c:pt>
                <c:pt idx="53">
                  <c:v>-0.25</c:v>
                </c:pt>
                <c:pt idx="54">
                  <c:v>-0.15</c:v>
                </c:pt>
                <c:pt idx="55">
                  <c:v>-0.05</c:v>
                </c:pt>
                <c:pt idx="56">
                  <c:v>0</c:v>
                </c:pt>
                <c:pt idx="57">
                  <c:v>0.05</c:v>
                </c:pt>
                <c:pt idx="58">
                  <c:v>0.03</c:v>
                </c:pt>
                <c:pt idx="59">
                  <c:v>7.0000000000000007E-2</c:v>
                </c:pt>
                <c:pt idx="60">
                  <c:v>0.1</c:v>
                </c:pt>
                <c:pt idx="61">
                  <c:v>0.2</c:v>
                </c:pt>
                <c:pt idx="62">
                  <c:v>0.3</c:v>
                </c:pt>
                <c:pt idx="63">
                  <c:v>0.4</c:v>
                </c:pt>
                <c:pt idx="64">
                  <c:v>0.5</c:v>
                </c:pt>
                <c:pt idx="65">
                  <c:v>0.6</c:v>
                </c:pt>
                <c:pt idx="66">
                  <c:v>0.8</c:v>
                </c:pt>
                <c:pt idx="67">
                  <c:v>1</c:v>
                </c:pt>
                <c:pt idx="68">
                  <c:v>1.2</c:v>
                </c:pt>
                <c:pt idx="69">
                  <c:v>1.3</c:v>
                </c:pt>
                <c:pt idx="70">
                  <c:v>1.4</c:v>
                </c:pt>
                <c:pt idx="71">
                  <c:v>1.5</c:v>
                </c:pt>
                <c:pt idx="72">
                  <c:v>1.6</c:v>
                </c:pt>
                <c:pt idx="73">
                  <c:v>1.7</c:v>
                </c:pt>
                <c:pt idx="74">
                  <c:v>1.8</c:v>
                </c:pt>
                <c:pt idx="75">
                  <c:v>1.9</c:v>
                </c:pt>
                <c:pt idx="76">
                  <c:v>2</c:v>
                </c:pt>
                <c:pt idx="77">
                  <c:v>2.1</c:v>
                </c:pt>
                <c:pt idx="78">
                  <c:v>2</c:v>
                </c:pt>
                <c:pt idx="79">
                  <c:v>2.1</c:v>
                </c:pt>
                <c:pt idx="80">
                  <c:v>2.1</c:v>
                </c:pt>
                <c:pt idx="81">
                  <c:v>2.2000000000000002</c:v>
                </c:pt>
                <c:pt idx="82">
                  <c:v>2.2999999999999998</c:v>
                </c:pt>
                <c:pt idx="83">
                  <c:v>2.4</c:v>
                </c:pt>
                <c:pt idx="84">
                  <c:v>2.5</c:v>
                </c:pt>
                <c:pt idx="85">
                  <c:v>2.6</c:v>
                </c:pt>
                <c:pt idx="86">
                  <c:v>2.7</c:v>
                </c:pt>
                <c:pt idx="87">
                  <c:v>2.8</c:v>
                </c:pt>
                <c:pt idx="88">
                  <c:v>2.9</c:v>
                </c:pt>
                <c:pt idx="89">
                  <c:v>2.8</c:v>
                </c:pt>
                <c:pt idx="90">
                  <c:v>2.8</c:v>
                </c:pt>
                <c:pt idx="91">
                  <c:v>2.8</c:v>
                </c:pt>
                <c:pt idx="92">
                  <c:v>2.8</c:v>
                </c:pt>
                <c:pt idx="93">
                  <c:v>2.9</c:v>
                </c:pt>
                <c:pt idx="94">
                  <c:v>3</c:v>
                </c:pt>
                <c:pt idx="95">
                  <c:v>2.9</c:v>
                </c:pt>
                <c:pt idx="96">
                  <c:v>2.8</c:v>
                </c:pt>
                <c:pt idx="97">
                  <c:v>2.7</c:v>
                </c:pt>
                <c:pt idx="98">
                  <c:v>2.8</c:v>
                </c:pt>
                <c:pt idx="99">
                  <c:v>2.8</c:v>
                </c:pt>
                <c:pt idx="100">
                  <c:v>2.8</c:v>
                </c:pt>
                <c:pt idx="101">
                  <c:v>3</c:v>
                </c:pt>
                <c:pt idx="102">
                  <c:v>3.2</c:v>
                </c:pt>
                <c:pt idx="103">
                  <c:v>3.4</c:v>
                </c:pt>
                <c:pt idx="104">
                  <c:v>3.6</c:v>
                </c:pt>
                <c:pt idx="105">
                  <c:v>3.8</c:v>
                </c:pt>
                <c:pt idx="106">
                  <c:v>4</c:v>
                </c:pt>
                <c:pt idx="107">
                  <c:v>4.2</c:v>
                </c:pt>
                <c:pt idx="108">
                  <c:v>4.4000000000000004</c:v>
                </c:pt>
                <c:pt idx="109">
                  <c:v>4.5999999999999996</c:v>
                </c:pt>
                <c:pt idx="110">
                  <c:v>4.7</c:v>
                </c:pt>
                <c:pt idx="111">
                  <c:v>4.7</c:v>
                </c:pt>
                <c:pt idx="112">
                  <c:v>4.5999999999999996</c:v>
                </c:pt>
                <c:pt idx="113">
                  <c:v>4.7</c:v>
                </c:pt>
                <c:pt idx="114">
                  <c:v>4.8</c:v>
                </c:pt>
                <c:pt idx="115">
                  <c:v>4.9000000000000004</c:v>
                </c:pt>
                <c:pt idx="116">
                  <c:v>4.8</c:v>
                </c:pt>
                <c:pt idx="117">
                  <c:v>4.7</c:v>
                </c:pt>
                <c:pt idx="118">
                  <c:v>4.5999999999999996</c:v>
                </c:pt>
                <c:pt idx="119">
                  <c:v>4.8</c:v>
                </c:pt>
                <c:pt idx="120">
                  <c:v>4.7</c:v>
                </c:pt>
                <c:pt idx="121">
                  <c:v>4.8</c:v>
                </c:pt>
                <c:pt idx="122">
                  <c:v>4.9000000000000004</c:v>
                </c:pt>
                <c:pt idx="123">
                  <c:v>5</c:v>
                </c:pt>
                <c:pt idx="124">
                  <c:v>5.0999999999999996</c:v>
                </c:pt>
                <c:pt idx="125">
                  <c:v>5.2</c:v>
                </c:pt>
                <c:pt idx="126">
                  <c:v>5.3</c:v>
                </c:pt>
                <c:pt idx="127">
                  <c:v>5.4</c:v>
                </c:pt>
                <c:pt idx="128">
                  <c:v>5.5</c:v>
                </c:pt>
                <c:pt idx="129">
                  <c:v>5.6</c:v>
                </c:pt>
                <c:pt idx="130">
                  <c:v>5.6</c:v>
                </c:pt>
                <c:pt idx="131">
                  <c:v>5.7</c:v>
                </c:pt>
                <c:pt idx="132">
                  <c:v>5.9</c:v>
                </c:pt>
                <c:pt idx="133">
                  <c:v>6.1</c:v>
                </c:pt>
                <c:pt idx="134">
                  <c:v>6.3</c:v>
                </c:pt>
                <c:pt idx="135">
                  <c:v>6.5</c:v>
                </c:pt>
                <c:pt idx="136">
                  <c:v>6.7</c:v>
                </c:pt>
                <c:pt idx="137">
                  <c:v>6.9</c:v>
                </c:pt>
                <c:pt idx="138">
                  <c:v>7.1</c:v>
                </c:pt>
                <c:pt idx="139">
                  <c:v>7.3</c:v>
                </c:pt>
                <c:pt idx="140">
                  <c:v>7.3</c:v>
                </c:pt>
                <c:pt idx="141">
                  <c:v>7.4</c:v>
                </c:pt>
                <c:pt idx="142">
                  <c:v>7.5</c:v>
                </c:pt>
                <c:pt idx="143">
                  <c:v>7.6</c:v>
                </c:pt>
                <c:pt idx="144">
                  <c:v>7.7</c:v>
                </c:pt>
                <c:pt idx="145">
                  <c:v>7.8</c:v>
                </c:pt>
                <c:pt idx="146">
                  <c:v>7.9</c:v>
                </c:pt>
                <c:pt idx="147">
                  <c:v>8</c:v>
                </c:pt>
                <c:pt idx="148">
                  <c:v>8.1</c:v>
                </c:pt>
                <c:pt idx="149">
                  <c:v>8.1999999999999993</c:v>
                </c:pt>
                <c:pt idx="150">
                  <c:v>8.4</c:v>
                </c:pt>
                <c:pt idx="151">
                  <c:v>8.3000000000000007</c:v>
                </c:pt>
                <c:pt idx="152">
                  <c:v>8.4</c:v>
                </c:pt>
                <c:pt idx="153">
                  <c:v>8.5</c:v>
                </c:pt>
                <c:pt idx="154">
                  <c:v>8.6</c:v>
                </c:pt>
                <c:pt idx="155">
                  <c:v>8.6999999999999993</c:v>
                </c:pt>
                <c:pt idx="156">
                  <c:v>8.8000000000000007</c:v>
                </c:pt>
                <c:pt idx="157">
                  <c:v>8.9</c:v>
                </c:pt>
                <c:pt idx="158">
                  <c:v>8.8000000000000007</c:v>
                </c:pt>
                <c:pt idx="159">
                  <c:v>8.8000000000000007</c:v>
                </c:pt>
                <c:pt idx="160">
                  <c:v>8.8000000000000007</c:v>
                </c:pt>
                <c:pt idx="161">
                  <c:v>9</c:v>
                </c:pt>
                <c:pt idx="162">
                  <c:v>9.1999999999999993</c:v>
                </c:pt>
                <c:pt idx="163">
                  <c:v>9.4</c:v>
                </c:pt>
                <c:pt idx="164">
                  <c:v>9.6</c:v>
                </c:pt>
                <c:pt idx="165">
                  <c:v>9.8000000000000007</c:v>
                </c:pt>
                <c:pt idx="166">
                  <c:v>10</c:v>
                </c:pt>
                <c:pt idx="167">
                  <c:v>10.199999999999999</c:v>
                </c:pt>
                <c:pt idx="168">
                  <c:v>10.4</c:v>
                </c:pt>
                <c:pt idx="169">
                  <c:v>10.6</c:v>
                </c:pt>
                <c:pt idx="170">
                  <c:v>10.7</c:v>
                </c:pt>
                <c:pt idx="171">
                  <c:v>10.8</c:v>
                </c:pt>
                <c:pt idx="172">
                  <c:v>10.9</c:v>
                </c:pt>
                <c:pt idx="173">
                  <c:v>11</c:v>
                </c:pt>
                <c:pt idx="174">
                  <c:v>11.1</c:v>
                </c:pt>
                <c:pt idx="175">
                  <c:v>11.2</c:v>
                </c:pt>
                <c:pt idx="176">
                  <c:v>11.3</c:v>
                </c:pt>
                <c:pt idx="177">
                  <c:v>11.4</c:v>
                </c:pt>
                <c:pt idx="178">
                  <c:v>11.5</c:v>
                </c:pt>
                <c:pt idx="179">
                  <c:v>11.5</c:v>
                </c:pt>
                <c:pt idx="180">
                  <c:v>11.4</c:v>
                </c:pt>
                <c:pt idx="181">
                  <c:v>11.4</c:v>
                </c:pt>
                <c:pt idx="182">
                  <c:v>11.5</c:v>
                </c:pt>
                <c:pt idx="183">
                  <c:v>11.7</c:v>
                </c:pt>
                <c:pt idx="184">
                  <c:v>11.9</c:v>
                </c:pt>
                <c:pt idx="185">
                  <c:v>12.1</c:v>
                </c:pt>
                <c:pt idx="186">
                  <c:v>12.3</c:v>
                </c:pt>
                <c:pt idx="187">
                  <c:v>12.6</c:v>
                </c:pt>
                <c:pt idx="188">
                  <c:v>12.9</c:v>
                </c:pt>
                <c:pt idx="189">
                  <c:v>13.2</c:v>
                </c:pt>
                <c:pt idx="190">
                  <c:v>13.4</c:v>
                </c:pt>
                <c:pt idx="191">
                  <c:v>13.5</c:v>
                </c:pt>
                <c:pt idx="192">
                  <c:v>13.6</c:v>
                </c:pt>
                <c:pt idx="193">
                  <c:v>13.7</c:v>
                </c:pt>
                <c:pt idx="194">
                  <c:v>13.8</c:v>
                </c:pt>
                <c:pt idx="195">
                  <c:v>13.9</c:v>
                </c:pt>
                <c:pt idx="196">
                  <c:v>14</c:v>
                </c:pt>
                <c:pt idx="197">
                  <c:v>14.1</c:v>
                </c:pt>
                <c:pt idx="198">
                  <c:v>14.2</c:v>
                </c:pt>
                <c:pt idx="199">
                  <c:v>14.1</c:v>
                </c:pt>
                <c:pt idx="200">
                  <c:v>14.1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F6-4A7E-AEB9-E9C81BAD9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610319"/>
        <c:axId val="1594618223"/>
      </c:scatterChart>
      <c:valAx>
        <c:axId val="1594610319"/>
        <c:scaling>
          <c:orientation val="minMax"/>
          <c:max val="2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94618223"/>
        <c:crosses val="autoZero"/>
        <c:crossBetween val="midCat"/>
      </c:valAx>
      <c:valAx>
        <c:axId val="1594618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94610319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Sheet1!$A$3:$A$203</c:f>
              <c:numCache>
                <c:formatCode>General</c:formatCode>
                <c:ptCount val="2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</c:numCache>
            </c:numRef>
          </c:xVal>
          <c:yVal>
            <c:numRef>
              <c:f>Sheet1!$G$3:$G$203</c:f>
              <c:numCache>
                <c:formatCode>0.000_);[Red]\(0.000\)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1</c:v>
                </c:pt>
                <c:pt idx="17">
                  <c:v>1.5</c:v>
                </c:pt>
                <c:pt idx="18">
                  <c:v>2</c:v>
                </c:pt>
                <c:pt idx="19">
                  <c:v>2.5</c:v>
                </c:pt>
                <c:pt idx="20">
                  <c:v>3</c:v>
                </c:pt>
                <c:pt idx="21">
                  <c:v>3.5</c:v>
                </c:pt>
                <c:pt idx="22">
                  <c:v>4</c:v>
                </c:pt>
                <c:pt idx="23">
                  <c:v>4.5</c:v>
                </c:pt>
                <c:pt idx="24">
                  <c:v>5</c:v>
                </c:pt>
                <c:pt idx="25">
                  <c:v>5.5</c:v>
                </c:pt>
                <c:pt idx="26">
                  <c:v>6</c:v>
                </c:pt>
                <c:pt idx="27">
                  <c:v>6.5</c:v>
                </c:pt>
                <c:pt idx="28">
                  <c:v>7</c:v>
                </c:pt>
                <c:pt idx="29">
                  <c:v>7.5</c:v>
                </c:pt>
                <c:pt idx="30">
                  <c:v>8</c:v>
                </c:pt>
                <c:pt idx="31">
                  <c:v>8.5</c:v>
                </c:pt>
                <c:pt idx="32">
                  <c:v>9</c:v>
                </c:pt>
                <c:pt idx="33">
                  <c:v>9.5</c:v>
                </c:pt>
                <c:pt idx="34">
                  <c:v>10</c:v>
                </c:pt>
                <c:pt idx="35">
                  <c:v>10.5</c:v>
                </c:pt>
                <c:pt idx="36">
                  <c:v>11</c:v>
                </c:pt>
                <c:pt idx="37">
                  <c:v>11.5</c:v>
                </c:pt>
                <c:pt idx="38">
                  <c:v>12</c:v>
                </c:pt>
                <c:pt idx="39">
                  <c:v>12.5</c:v>
                </c:pt>
                <c:pt idx="40">
                  <c:v>13</c:v>
                </c:pt>
                <c:pt idx="41">
                  <c:v>13.5</c:v>
                </c:pt>
                <c:pt idx="42">
                  <c:v>14</c:v>
                </c:pt>
                <c:pt idx="43">
                  <c:v>14.5</c:v>
                </c:pt>
                <c:pt idx="44">
                  <c:v>15</c:v>
                </c:pt>
                <c:pt idx="45">
                  <c:v>15.5</c:v>
                </c:pt>
                <c:pt idx="46">
                  <c:v>16</c:v>
                </c:pt>
                <c:pt idx="47">
                  <c:v>16.5</c:v>
                </c:pt>
                <c:pt idx="48">
                  <c:v>17</c:v>
                </c:pt>
                <c:pt idx="49">
                  <c:v>17.5</c:v>
                </c:pt>
                <c:pt idx="50">
                  <c:v>18</c:v>
                </c:pt>
                <c:pt idx="51">
                  <c:v>18.5</c:v>
                </c:pt>
                <c:pt idx="52">
                  <c:v>19</c:v>
                </c:pt>
                <c:pt idx="53">
                  <c:v>19.5</c:v>
                </c:pt>
                <c:pt idx="54">
                  <c:v>20</c:v>
                </c:pt>
                <c:pt idx="55">
                  <c:v>20.5</c:v>
                </c:pt>
                <c:pt idx="56">
                  <c:v>21</c:v>
                </c:pt>
                <c:pt idx="57">
                  <c:v>21.5</c:v>
                </c:pt>
                <c:pt idx="58">
                  <c:v>22</c:v>
                </c:pt>
                <c:pt idx="59">
                  <c:v>22.5</c:v>
                </c:pt>
                <c:pt idx="60">
                  <c:v>23</c:v>
                </c:pt>
                <c:pt idx="61">
                  <c:v>23.5</c:v>
                </c:pt>
                <c:pt idx="62">
                  <c:v>24</c:v>
                </c:pt>
                <c:pt idx="63">
                  <c:v>24.5</c:v>
                </c:pt>
                <c:pt idx="64">
                  <c:v>25</c:v>
                </c:pt>
                <c:pt idx="65">
                  <c:v>25.5</c:v>
                </c:pt>
                <c:pt idx="66">
                  <c:v>26</c:v>
                </c:pt>
                <c:pt idx="67">
                  <c:v>26.5</c:v>
                </c:pt>
                <c:pt idx="68">
                  <c:v>27</c:v>
                </c:pt>
                <c:pt idx="69">
                  <c:v>27.5</c:v>
                </c:pt>
                <c:pt idx="70">
                  <c:v>28</c:v>
                </c:pt>
                <c:pt idx="71">
                  <c:v>28.5</c:v>
                </c:pt>
                <c:pt idx="72">
                  <c:v>29</c:v>
                </c:pt>
                <c:pt idx="73">
                  <c:v>29.5</c:v>
                </c:pt>
                <c:pt idx="74">
                  <c:v>30</c:v>
                </c:pt>
                <c:pt idx="75">
                  <c:v>30</c:v>
                </c:pt>
                <c:pt idx="76">
                  <c:v>30</c:v>
                </c:pt>
                <c:pt idx="77">
                  <c:v>30</c:v>
                </c:pt>
                <c:pt idx="78">
                  <c:v>30</c:v>
                </c:pt>
                <c:pt idx="79">
                  <c:v>30</c:v>
                </c:pt>
                <c:pt idx="80">
                  <c:v>30</c:v>
                </c:pt>
                <c:pt idx="81">
                  <c:v>30</c:v>
                </c:pt>
                <c:pt idx="82">
                  <c:v>30</c:v>
                </c:pt>
                <c:pt idx="83">
                  <c:v>30</c:v>
                </c:pt>
                <c:pt idx="84">
                  <c:v>30</c:v>
                </c:pt>
                <c:pt idx="85">
                  <c:v>30</c:v>
                </c:pt>
                <c:pt idx="86">
                  <c:v>29.5</c:v>
                </c:pt>
                <c:pt idx="87">
                  <c:v>29</c:v>
                </c:pt>
                <c:pt idx="88">
                  <c:v>28.5</c:v>
                </c:pt>
                <c:pt idx="89">
                  <c:v>28</c:v>
                </c:pt>
                <c:pt idx="90">
                  <c:v>27.5</c:v>
                </c:pt>
                <c:pt idx="91">
                  <c:v>27</c:v>
                </c:pt>
                <c:pt idx="92">
                  <c:v>26.5</c:v>
                </c:pt>
                <c:pt idx="93">
                  <c:v>26</c:v>
                </c:pt>
                <c:pt idx="94">
                  <c:v>25.5</c:v>
                </c:pt>
                <c:pt idx="95">
                  <c:v>25</c:v>
                </c:pt>
                <c:pt idx="96">
                  <c:v>24.5</c:v>
                </c:pt>
                <c:pt idx="97">
                  <c:v>24</c:v>
                </c:pt>
                <c:pt idx="98">
                  <c:v>23.5</c:v>
                </c:pt>
                <c:pt idx="99">
                  <c:v>23</c:v>
                </c:pt>
                <c:pt idx="100">
                  <c:v>22.5</c:v>
                </c:pt>
                <c:pt idx="101">
                  <c:v>22</c:v>
                </c:pt>
                <c:pt idx="102">
                  <c:v>21.5</c:v>
                </c:pt>
                <c:pt idx="103">
                  <c:v>21</c:v>
                </c:pt>
                <c:pt idx="104">
                  <c:v>20.5</c:v>
                </c:pt>
                <c:pt idx="105">
                  <c:v>20</c:v>
                </c:pt>
                <c:pt idx="106">
                  <c:v>19.5</c:v>
                </c:pt>
                <c:pt idx="107">
                  <c:v>19</c:v>
                </c:pt>
                <c:pt idx="108">
                  <c:v>18.5</c:v>
                </c:pt>
                <c:pt idx="109">
                  <c:v>18</c:v>
                </c:pt>
                <c:pt idx="110">
                  <c:v>17.5</c:v>
                </c:pt>
                <c:pt idx="111">
                  <c:v>17</c:v>
                </c:pt>
                <c:pt idx="112">
                  <c:v>16.5</c:v>
                </c:pt>
                <c:pt idx="113">
                  <c:v>16</c:v>
                </c:pt>
                <c:pt idx="114">
                  <c:v>15.5</c:v>
                </c:pt>
                <c:pt idx="115">
                  <c:v>15</c:v>
                </c:pt>
                <c:pt idx="116">
                  <c:v>15.5</c:v>
                </c:pt>
                <c:pt idx="117">
                  <c:v>16</c:v>
                </c:pt>
                <c:pt idx="118">
                  <c:v>16.5</c:v>
                </c:pt>
                <c:pt idx="119">
                  <c:v>17</c:v>
                </c:pt>
                <c:pt idx="120">
                  <c:v>17.5</c:v>
                </c:pt>
                <c:pt idx="121">
                  <c:v>18</c:v>
                </c:pt>
                <c:pt idx="122">
                  <c:v>18.5</c:v>
                </c:pt>
                <c:pt idx="123">
                  <c:v>19</c:v>
                </c:pt>
                <c:pt idx="124">
                  <c:v>19.5</c:v>
                </c:pt>
                <c:pt idx="125">
                  <c:v>20</c:v>
                </c:pt>
                <c:pt idx="126">
                  <c:v>20.5</c:v>
                </c:pt>
                <c:pt idx="127">
                  <c:v>21</c:v>
                </c:pt>
                <c:pt idx="128">
                  <c:v>21.5</c:v>
                </c:pt>
                <c:pt idx="129">
                  <c:v>22</c:v>
                </c:pt>
                <c:pt idx="130">
                  <c:v>22.5</c:v>
                </c:pt>
                <c:pt idx="131">
                  <c:v>23</c:v>
                </c:pt>
                <c:pt idx="132">
                  <c:v>23.5</c:v>
                </c:pt>
                <c:pt idx="133">
                  <c:v>24</c:v>
                </c:pt>
                <c:pt idx="134">
                  <c:v>24.5</c:v>
                </c:pt>
                <c:pt idx="135">
                  <c:v>25</c:v>
                </c:pt>
                <c:pt idx="136">
                  <c:v>25.5</c:v>
                </c:pt>
                <c:pt idx="137">
                  <c:v>26</c:v>
                </c:pt>
                <c:pt idx="138">
                  <c:v>26.5</c:v>
                </c:pt>
                <c:pt idx="139">
                  <c:v>27</c:v>
                </c:pt>
                <c:pt idx="140">
                  <c:v>27.5</c:v>
                </c:pt>
                <c:pt idx="141">
                  <c:v>28</c:v>
                </c:pt>
                <c:pt idx="142">
                  <c:v>28.5</c:v>
                </c:pt>
                <c:pt idx="143">
                  <c:v>29</c:v>
                </c:pt>
                <c:pt idx="144">
                  <c:v>29.5</c:v>
                </c:pt>
                <c:pt idx="145">
                  <c:v>30</c:v>
                </c:pt>
                <c:pt idx="146">
                  <c:v>30.5</c:v>
                </c:pt>
                <c:pt idx="147">
                  <c:v>31</c:v>
                </c:pt>
                <c:pt idx="148">
                  <c:v>31.5</c:v>
                </c:pt>
                <c:pt idx="149">
                  <c:v>32</c:v>
                </c:pt>
                <c:pt idx="150">
                  <c:v>32.5</c:v>
                </c:pt>
                <c:pt idx="151">
                  <c:v>33</c:v>
                </c:pt>
                <c:pt idx="152">
                  <c:v>33.5</c:v>
                </c:pt>
                <c:pt idx="153">
                  <c:v>34</c:v>
                </c:pt>
                <c:pt idx="154">
                  <c:v>34.5</c:v>
                </c:pt>
                <c:pt idx="155">
                  <c:v>35</c:v>
                </c:pt>
                <c:pt idx="156">
                  <c:v>35</c:v>
                </c:pt>
                <c:pt idx="157">
                  <c:v>35</c:v>
                </c:pt>
                <c:pt idx="158">
                  <c:v>35</c:v>
                </c:pt>
                <c:pt idx="159">
                  <c:v>35</c:v>
                </c:pt>
                <c:pt idx="160">
                  <c:v>35</c:v>
                </c:pt>
                <c:pt idx="161">
                  <c:v>35</c:v>
                </c:pt>
                <c:pt idx="162">
                  <c:v>35</c:v>
                </c:pt>
                <c:pt idx="163">
                  <c:v>35</c:v>
                </c:pt>
                <c:pt idx="164">
                  <c:v>35</c:v>
                </c:pt>
                <c:pt idx="165">
                  <c:v>35</c:v>
                </c:pt>
                <c:pt idx="166">
                  <c:v>35</c:v>
                </c:pt>
                <c:pt idx="167">
                  <c:v>35</c:v>
                </c:pt>
                <c:pt idx="168">
                  <c:v>35</c:v>
                </c:pt>
                <c:pt idx="169">
                  <c:v>35</c:v>
                </c:pt>
                <c:pt idx="170">
                  <c:v>35</c:v>
                </c:pt>
                <c:pt idx="171">
                  <c:v>34.5</c:v>
                </c:pt>
                <c:pt idx="172">
                  <c:v>34</c:v>
                </c:pt>
                <c:pt idx="173">
                  <c:v>33.5</c:v>
                </c:pt>
                <c:pt idx="174">
                  <c:v>33</c:v>
                </c:pt>
                <c:pt idx="175">
                  <c:v>32.5</c:v>
                </c:pt>
                <c:pt idx="176">
                  <c:v>32</c:v>
                </c:pt>
                <c:pt idx="177">
                  <c:v>31.5</c:v>
                </c:pt>
                <c:pt idx="178">
                  <c:v>31</c:v>
                </c:pt>
                <c:pt idx="179">
                  <c:v>30.5</c:v>
                </c:pt>
                <c:pt idx="180">
                  <c:v>30</c:v>
                </c:pt>
                <c:pt idx="181">
                  <c:v>29.5</c:v>
                </c:pt>
                <c:pt idx="182">
                  <c:v>29</c:v>
                </c:pt>
                <c:pt idx="183">
                  <c:v>28.5</c:v>
                </c:pt>
                <c:pt idx="184">
                  <c:v>28</c:v>
                </c:pt>
                <c:pt idx="185">
                  <c:v>27.5</c:v>
                </c:pt>
                <c:pt idx="186">
                  <c:v>27.5</c:v>
                </c:pt>
                <c:pt idx="187">
                  <c:v>27.5</c:v>
                </c:pt>
                <c:pt idx="188">
                  <c:v>27.5</c:v>
                </c:pt>
                <c:pt idx="189">
                  <c:v>27.5</c:v>
                </c:pt>
                <c:pt idx="190">
                  <c:v>27.5</c:v>
                </c:pt>
                <c:pt idx="191">
                  <c:v>27.5</c:v>
                </c:pt>
                <c:pt idx="192">
                  <c:v>27.5</c:v>
                </c:pt>
                <c:pt idx="193">
                  <c:v>27.5</c:v>
                </c:pt>
                <c:pt idx="194">
                  <c:v>27.5</c:v>
                </c:pt>
                <c:pt idx="195">
                  <c:v>27.5</c:v>
                </c:pt>
                <c:pt idx="196">
                  <c:v>28</c:v>
                </c:pt>
                <c:pt idx="197">
                  <c:v>28.5</c:v>
                </c:pt>
                <c:pt idx="198">
                  <c:v>29</c:v>
                </c:pt>
                <c:pt idx="199">
                  <c:v>29.5</c:v>
                </c:pt>
                <c:pt idx="20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67-47C1-8A4D-09122C20B561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Sheet1!$A$3:$A$203</c:f>
              <c:numCache>
                <c:formatCode>General</c:formatCode>
                <c:ptCount val="2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</c:numCache>
            </c:numRef>
          </c:xVal>
          <c:yVal>
            <c:numRef>
              <c:f>Sheet1!$H$3:$H$203</c:f>
              <c:numCache>
                <c:formatCode>0.000_);[Red]\(0.000\)</c:formatCode>
                <c:ptCount val="201"/>
                <c:pt idx="0">
                  <c:v>220</c:v>
                </c:pt>
                <c:pt idx="1">
                  <c:v>220</c:v>
                </c:pt>
                <c:pt idx="2">
                  <c:v>220</c:v>
                </c:pt>
                <c:pt idx="3">
                  <c:v>220</c:v>
                </c:pt>
                <c:pt idx="4">
                  <c:v>220</c:v>
                </c:pt>
                <c:pt idx="5">
                  <c:v>220</c:v>
                </c:pt>
                <c:pt idx="6">
                  <c:v>220</c:v>
                </c:pt>
                <c:pt idx="7">
                  <c:v>220</c:v>
                </c:pt>
                <c:pt idx="8">
                  <c:v>220</c:v>
                </c:pt>
                <c:pt idx="9">
                  <c:v>220</c:v>
                </c:pt>
                <c:pt idx="10">
                  <c:v>220</c:v>
                </c:pt>
                <c:pt idx="11">
                  <c:v>220</c:v>
                </c:pt>
                <c:pt idx="12">
                  <c:v>220</c:v>
                </c:pt>
                <c:pt idx="13">
                  <c:v>220</c:v>
                </c:pt>
                <c:pt idx="14">
                  <c:v>220</c:v>
                </c:pt>
                <c:pt idx="15">
                  <c:v>219.5</c:v>
                </c:pt>
                <c:pt idx="16">
                  <c:v>219</c:v>
                </c:pt>
                <c:pt idx="17">
                  <c:v>218.5</c:v>
                </c:pt>
                <c:pt idx="18">
                  <c:v>218</c:v>
                </c:pt>
                <c:pt idx="19">
                  <c:v>217.5</c:v>
                </c:pt>
                <c:pt idx="20">
                  <c:v>217</c:v>
                </c:pt>
                <c:pt idx="21">
                  <c:v>216.5</c:v>
                </c:pt>
                <c:pt idx="22">
                  <c:v>216</c:v>
                </c:pt>
                <c:pt idx="23">
                  <c:v>215.5</c:v>
                </c:pt>
                <c:pt idx="24">
                  <c:v>215</c:v>
                </c:pt>
                <c:pt idx="25">
                  <c:v>214.5</c:v>
                </c:pt>
                <c:pt idx="26">
                  <c:v>214</c:v>
                </c:pt>
                <c:pt idx="27">
                  <c:v>213.5</c:v>
                </c:pt>
                <c:pt idx="28">
                  <c:v>213</c:v>
                </c:pt>
                <c:pt idx="29">
                  <c:v>212.5</c:v>
                </c:pt>
                <c:pt idx="30">
                  <c:v>212</c:v>
                </c:pt>
                <c:pt idx="31">
                  <c:v>211.5</c:v>
                </c:pt>
                <c:pt idx="32">
                  <c:v>211</c:v>
                </c:pt>
                <c:pt idx="33">
                  <c:v>210.5</c:v>
                </c:pt>
                <c:pt idx="34">
                  <c:v>210</c:v>
                </c:pt>
                <c:pt idx="35">
                  <c:v>209.5</c:v>
                </c:pt>
                <c:pt idx="36">
                  <c:v>209</c:v>
                </c:pt>
                <c:pt idx="37">
                  <c:v>208.5</c:v>
                </c:pt>
                <c:pt idx="38">
                  <c:v>208</c:v>
                </c:pt>
                <c:pt idx="39">
                  <c:v>207.5</c:v>
                </c:pt>
                <c:pt idx="40">
                  <c:v>207</c:v>
                </c:pt>
                <c:pt idx="41">
                  <c:v>206.5</c:v>
                </c:pt>
                <c:pt idx="42">
                  <c:v>206</c:v>
                </c:pt>
                <c:pt idx="43">
                  <c:v>205.5</c:v>
                </c:pt>
                <c:pt idx="44">
                  <c:v>205</c:v>
                </c:pt>
                <c:pt idx="45">
                  <c:v>204.5</c:v>
                </c:pt>
                <c:pt idx="46">
                  <c:v>204</c:v>
                </c:pt>
                <c:pt idx="47">
                  <c:v>203.5</c:v>
                </c:pt>
                <c:pt idx="48">
                  <c:v>203</c:v>
                </c:pt>
                <c:pt idx="49">
                  <c:v>202.5</c:v>
                </c:pt>
                <c:pt idx="50">
                  <c:v>202</c:v>
                </c:pt>
                <c:pt idx="51">
                  <c:v>201.5</c:v>
                </c:pt>
                <c:pt idx="52">
                  <c:v>201</c:v>
                </c:pt>
                <c:pt idx="53">
                  <c:v>200.5</c:v>
                </c:pt>
                <c:pt idx="54">
                  <c:v>200</c:v>
                </c:pt>
                <c:pt idx="55">
                  <c:v>199.5</c:v>
                </c:pt>
                <c:pt idx="56">
                  <c:v>199</c:v>
                </c:pt>
                <c:pt idx="57">
                  <c:v>198.5</c:v>
                </c:pt>
                <c:pt idx="58">
                  <c:v>198</c:v>
                </c:pt>
                <c:pt idx="59">
                  <c:v>197.5</c:v>
                </c:pt>
                <c:pt idx="60">
                  <c:v>197</c:v>
                </c:pt>
                <c:pt idx="61">
                  <c:v>196.5</c:v>
                </c:pt>
                <c:pt idx="62">
                  <c:v>196</c:v>
                </c:pt>
                <c:pt idx="63">
                  <c:v>195.5</c:v>
                </c:pt>
                <c:pt idx="64">
                  <c:v>195</c:v>
                </c:pt>
                <c:pt idx="65">
                  <c:v>194.5</c:v>
                </c:pt>
                <c:pt idx="66">
                  <c:v>194</c:v>
                </c:pt>
                <c:pt idx="67">
                  <c:v>193.5</c:v>
                </c:pt>
                <c:pt idx="68">
                  <c:v>193</c:v>
                </c:pt>
                <c:pt idx="69">
                  <c:v>192.5</c:v>
                </c:pt>
                <c:pt idx="70">
                  <c:v>192</c:v>
                </c:pt>
                <c:pt idx="71">
                  <c:v>191.5</c:v>
                </c:pt>
                <c:pt idx="72">
                  <c:v>191</c:v>
                </c:pt>
                <c:pt idx="73">
                  <c:v>190.5</c:v>
                </c:pt>
                <c:pt idx="74">
                  <c:v>190</c:v>
                </c:pt>
                <c:pt idx="75">
                  <c:v>190</c:v>
                </c:pt>
                <c:pt idx="76">
                  <c:v>190</c:v>
                </c:pt>
                <c:pt idx="77">
                  <c:v>190</c:v>
                </c:pt>
                <c:pt idx="78">
                  <c:v>190</c:v>
                </c:pt>
                <c:pt idx="79">
                  <c:v>190</c:v>
                </c:pt>
                <c:pt idx="80">
                  <c:v>190</c:v>
                </c:pt>
                <c:pt idx="81">
                  <c:v>190</c:v>
                </c:pt>
                <c:pt idx="82">
                  <c:v>190</c:v>
                </c:pt>
                <c:pt idx="83">
                  <c:v>190</c:v>
                </c:pt>
                <c:pt idx="84">
                  <c:v>190</c:v>
                </c:pt>
                <c:pt idx="85">
                  <c:v>190</c:v>
                </c:pt>
                <c:pt idx="86">
                  <c:v>190.5</c:v>
                </c:pt>
                <c:pt idx="87">
                  <c:v>191</c:v>
                </c:pt>
                <c:pt idx="88">
                  <c:v>191.5</c:v>
                </c:pt>
                <c:pt idx="89">
                  <c:v>192</c:v>
                </c:pt>
                <c:pt idx="90">
                  <c:v>192.5</c:v>
                </c:pt>
                <c:pt idx="91">
                  <c:v>193</c:v>
                </c:pt>
                <c:pt idx="92">
                  <c:v>193.5</c:v>
                </c:pt>
                <c:pt idx="93">
                  <c:v>194</c:v>
                </c:pt>
                <c:pt idx="94">
                  <c:v>194.5</c:v>
                </c:pt>
                <c:pt idx="95">
                  <c:v>195</c:v>
                </c:pt>
                <c:pt idx="96">
                  <c:v>195.5</c:v>
                </c:pt>
                <c:pt idx="97">
                  <c:v>196</c:v>
                </c:pt>
                <c:pt idx="98">
                  <c:v>196.5</c:v>
                </c:pt>
                <c:pt idx="99">
                  <c:v>197</c:v>
                </c:pt>
                <c:pt idx="100">
                  <c:v>197.5</c:v>
                </c:pt>
                <c:pt idx="101">
                  <c:v>198</c:v>
                </c:pt>
                <c:pt idx="102">
                  <c:v>198.5</c:v>
                </c:pt>
                <c:pt idx="103">
                  <c:v>199</c:v>
                </c:pt>
                <c:pt idx="104">
                  <c:v>199.5</c:v>
                </c:pt>
                <c:pt idx="105">
                  <c:v>200</c:v>
                </c:pt>
                <c:pt idx="106">
                  <c:v>200.5</c:v>
                </c:pt>
                <c:pt idx="107">
                  <c:v>201</c:v>
                </c:pt>
                <c:pt idx="108">
                  <c:v>201.5</c:v>
                </c:pt>
                <c:pt idx="109">
                  <c:v>202</c:v>
                </c:pt>
                <c:pt idx="110">
                  <c:v>202.5</c:v>
                </c:pt>
                <c:pt idx="111">
                  <c:v>203</c:v>
                </c:pt>
                <c:pt idx="112">
                  <c:v>203.5</c:v>
                </c:pt>
                <c:pt idx="113">
                  <c:v>204</c:v>
                </c:pt>
                <c:pt idx="114">
                  <c:v>204.5</c:v>
                </c:pt>
                <c:pt idx="115">
                  <c:v>205</c:v>
                </c:pt>
                <c:pt idx="116">
                  <c:v>204.5</c:v>
                </c:pt>
                <c:pt idx="117">
                  <c:v>204</c:v>
                </c:pt>
                <c:pt idx="118">
                  <c:v>203.5</c:v>
                </c:pt>
                <c:pt idx="119">
                  <c:v>203</c:v>
                </c:pt>
                <c:pt idx="120">
                  <c:v>202.5</c:v>
                </c:pt>
                <c:pt idx="121">
                  <c:v>202</c:v>
                </c:pt>
                <c:pt idx="122">
                  <c:v>201.5</c:v>
                </c:pt>
                <c:pt idx="123">
                  <c:v>201</c:v>
                </c:pt>
                <c:pt idx="124">
                  <c:v>200.5</c:v>
                </c:pt>
                <c:pt idx="125">
                  <c:v>200</c:v>
                </c:pt>
                <c:pt idx="126">
                  <c:v>199.5</c:v>
                </c:pt>
                <c:pt idx="127">
                  <c:v>199</c:v>
                </c:pt>
                <c:pt idx="128">
                  <c:v>198.5</c:v>
                </c:pt>
                <c:pt idx="129">
                  <c:v>198</c:v>
                </c:pt>
                <c:pt idx="130">
                  <c:v>197.5</c:v>
                </c:pt>
                <c:pt idx="131">
                  <c:v>197</c:v>
                </c:pt>
                <c:pt idx="132">
                  <c:v>196.5</c:v>
                </c:pt>
                <c:pt idx="133">
                  <c:v>196</c:v>
                </c:pt>
                <c:pt idx="134">
                  <c:v>195.5</c:v>
                </c:pt>
                <c:pt idx="135">
                  <c:v>195</c:v>
                </c:pt>
                <c:pt idx="136">
                  <c:v>194.5</c:v>
                </c:pt>
                <c:pt idx="137">
                  <c:v>194</c:v>
                </c:pt>
                <c:pt idx="138">
                  <c:v>193.5</c:v>
                </c:pt>
                <c:pt idx="139">
                  <c:v>193</c:v>
                </c:pt>
                <c:pt idx="140">
                  <c:v>192.5</c:v>
                </c:pt>
                <c:pt idx="141">
                  <c:v>192</c:v>
                </c:pt>
                <c:pt idx="142">
                  <c:v>191.5</c:v>
                </c:pt>
                <c:pt idx="143">
                  <c:v>191</c:v>
                </c:pt>
                <c:pt idx="144">
                  <c:v>190.5</c:v>
                </c:pt>
                <c:pt idx="145">
                  <c:v>190</c:v>
                </c:pt>
                <c:pt idx="146">
                  <c:v>189.5</c:v>
                </c:pt>
                <c:pt idx="147">
                  <c:v>189</c:v>
                </c:pt>
                <c:pt idx="148">
                  <c:v>188.5</c:v>
                </c:pt>
                <c:pt idx="149">
                  <c:v>188</c:v>
                </c:pt>
                <c:pt idx="150">
                  <c:v>187.5</c:v>
                </c:pt>
                <c:pt idx="151">
                  <c:v>187</c:v>
                </c:pt>
                <c:pt idx="152">
                  <c:v>186.5</c:v>
                </c:pt>
                <c:pt idx="153">
                  <c:v>186</c:v>
                </c:pt>
                <c:pt idx="154">
                  <c:v>185.5</c:v>
                </c:pt>
                <c:pt idx="155">
                  <c:v>185</c:v>
                </c:pt>
                <c:pt idx="156">
                  <c:v>185</c:v>
                </c:pt>
                <c:pt idx="157">
                  <c:v>185</c:v>
                </c:pt>
                <c:pt idx="158">
                  <c:v>185</c:v>
                </c:pt>
                <c:pt idx="159">
                  <c:v>185</c:v>
                </c:pt>
                <c:pt idx="160">
                  <c:v>185</c:v>
                </c:pt>
                <c:pt idx="161">
                  <c:v>185</c:v>
                </c:pt>
                <c:pt idx="162">
                  <c:v>185</c:v>
                </c:pt>
                <c:pt idx="163">
                  <c:v>185</c:v>
                </c:pt>
                <c:pt idx="164">
                  <c:v>185</c:v>
                </c:pt>
                <c:pt idx="165">
                  <c:v>185</c:v>
                </c:pt>
                <c:pt idx="166">
                  <c:v>185</c:v>
                </c:pt>
                <c:pt idx="167">
                  <c:v>185</c:v>
                </c:pt>
                <c:pt idx="168">
                  <c:v>185</c:v>
                </c:pt>
                <c:pt idx="169">
                  <c:v>185</c:v>
                </c:pt>
                <c:pt idx="170">
                  <c:v>185</c:v>
                </c:pt>
                <c:pt idx="171">
                  <c:v>185.5</c:v>
                </c:pt>
                <c:pt idx="172">
                  <c:v>186</c:v>
                </c:pt>
                <c:pt idx="173">
                  <c:v>186.5</c:v>
                </c:pt>
                <c:pt idx="174">
                  <c:v>187</c:v>
                </c:pt>
                <c:pt idx="175">
                  <c:v>187.5</c:v>
                </c:pt>
                <c:pt idx="176">
                  <c:v>188</c:v>
                </c:pt>
                <c:pt idx="177">
                  <c:v>188.5</c:v>
                </c:pt>
                <c:pt idx="178">
                  <c:v>189</c:v>
                </c:pt>
                <c:pt idx="179">
                  <c:v>189.5</c:v>
                </c:pt>
                <c:pt idx="180">
                  <c:v>190</c:v>
                </c:pt>
                <c:pt idx="181">
                  <c:v>190.5</c:v>
                </c:pt>
                <c:pt idx="182">
                  <c:v>191</c:v>
                </c:pt>
                <c:pt idx="183">
                  <c:v>191.5</c:v>
                </c:pt>
                <c:pt idx="184">
                  <c:v>192</c:v>
                </c:pt>
                <c:pt idx="185">
                  <c:v>192.5</c:v>
                </c:pt>
                <c:pt idx="186">
                  <c:v>192.5</c:v>
                </c:pt>
                <c:pt idx="187">
                  <c:v>192.5</c:v>
                </c:pt>
                <c:pt idx="188">
                  <c:v>192.5</c:v>
                </c:pt>
                <c:pt idx="189">
                  <c:v>192.5</c:v>
                </c:pt>
                <c:pt idx="190">
                  <c:v>192.5</c:v>
                </c:pt>
                <c:pt idx="191">
                  <c:v>192.5</c:v>
                </c:pt>
                <c:pt idx="192">
                  <c:v>192.5</c:v>
                </c:pt>
                <c:pt idx="193">
                  <c:v>192.5</c:v>
                </c:pt>
                <c:pt idx="194">
                  <c:v>192.5</c:v>
                </c:pt>
                <c:pt idx="195">
                  <c:v>192.5</c:v>
                </c:pt>
                <c:pt idx="196">
                  <c:v>192</c:v>
                </c:pt>
                <c:pt idx="197">
                  <c:v>191.5</c:v>
                </c:pt>
                <c:pt idx="198">
                  <c:v>191</c:v>
                </c:pt>
                <c:pt idx="199">
                  <c:v>190.5</c:v>
                </c:pt>
                <c:pt idx="200">
                  <c:v>190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67-47C1-8A4D-09122C20B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8457743"/>
        <c:axId val="1598458159"/>
      </c:scatterChart>
      <c:valAx>
        <c:axId val="1598457743"/>
        <c:scaling>
          <c:orientation val="minMax"/>
          <c:max val="2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98458159"/>
        <c:crosses val="autoZero"/>
        <c:crossBetween val="midCat"/>
      </c:valAx>
      <c:valAx>
        <c:axId val="1598458159"/>
        <c:scaling>
          <c:orientation val="minMax"/>
          <c:max val="22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_);[Red]\(0.0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98457743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98977329142547"/>
          <c:y val="5.0925925925925923E-2"/>
          <c:w val="0.69595583631787716"/>
          <c:h val="0.8416746864975212"/>
        </c:manualLayout>
      </c:layout>
      <c:scatterChart>
        <c:scatterStyle val="smoothMarker"/>
        <c:varyColors val="0"/>
        <c:ser>
          <c:idx val="1"/>
          <c:order val="0"/>
          <c:tx>
            <c:v>水位</c:v>
          </c:tx>
          <c:xVal>
            <c:numRef>
              <c:f>課題１!$A$3:$A$23</c:f>
              <c:numCache>
                <c:formatCode>General</c:formatCode>
                <c:ptCount val="2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</c:numCache>
            </c:numRef>
          </c:xVal>
          <c:yVal>
            <c:numRef>
              <c:f>課題１!$D$3:$D$23</c:f>
              <c:numCache>
                <c:formatCode>0.000_ </c:formatCode>
                <c:ptCount val="21"/>
                <c:pt idx="0">
                  <c:v>5</c:v>
                </c:pt>
                <c:pt idx="1">
                  <c:v>5.0696902275085449</c:v>
                </c:pt>
                <c:pt idx="2">
                  <c:v>5.169395923614502</c:v>
                </c:pt>
                <c:pt idx="3">
                  <c:v>5.3131656646728516</c:v>
                </c:pt>
                <c:pt idx="4">
                  <c:v>5.5183019638061523</c:v>
                </c:pt>
                <c:pt idx="5">
                  <c:v>5.800349235534668</c:v>
                </c:pt>
                <c:pt idx="6">
                  <c:v>6.1607437133789063</c:v>
                </c:pt>
                <c:pt idx="7">
                  <c:v>6.5850982666015625</c:v>
                </c:pt>
                <c:pt idx="8">
                  <c:v>7.0496149063110352</c:v>
                </c:pt>
                <c:pt idx="9">
                  <c:v>7.5344629287719727</c:v>
                </c:pt>
                <c:pt idx="10">
                  <c:v>8.0282993316650391</c:v>
                </c:pt>
                <c:pt idx="11">
                  <c:v>8.5258464813232422</c:v>
                </c:pt>
                <c:pt idx="12">
                  <c:v>9.0248785018920898</c:v>
                </c:pt>
                <c:pt idx="13">
                  <c:v>9.5244979858398438</c:v>
                </c:pt>
                <c:pt idx="14">
                  <c:v>10.024349212646484</c:v>
                </c:pt>
                <c:pt idx="15">
                  <c:v>10.524290084838867</c:v>
                </c:pt>
                <c:pt idx="16">
                  <c:v>11.024267196655273</c:v>
                </c:pt>
                <c:pt idx="17">
                  <c:v>11.524257659912109</c:v>
                </c:pt>
                <c:pt idx="18">
                  <c:v>12.02425479888916</c:v>
                </c:pt>
                <c:pt idx="19">
                  <c:v>12.524252891540527</c:v>
                </c:pt>
                <c:pt idx="20">
                  <c:v>13.024252891540527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57C-4646-B95E-EEA000F2CA86}"/>
            </c:ext>
          </c:extLst>
        </c:ser>
        <c:ser>
          <c:idx val="0"/>
          <c:order val="1"/>
          <c:tx>
            <c:v>地盤高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xVal>
            <c:numRef>
              <c:f>課題１!$A$3:$A$23</c:f>
              <c:numCache>
                <c:formatCode>General</c:formatCode>
                <c:ptCount val="2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  <c:pt idx="18">
                  <c:v>9000</c:v>
                </c:pt>
                <c:pt idx="19">
                  <c:v>9500</c:v>
                </c:pt>
                <c:pt idx="20">
                  <c:v>10000</c:v>
                </c:pt>
              </c:numCache>
            </c:numRef>
          </c:xVal>
          <c:yVal>
            <c:numRef>
              <c:f>課題１!$B$3:$B$23</c:f>
              <c:numCache>
                <c:formatCode>0.000_ 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1.5000001192092896</c:v>
                </c:pt>
                <c:pt idx="4">
                  <c:v>2</c:v>
                </c:pt>
                <c:pt idx="5">
                  <c:v>2.5</c:v>
                </c:pt>
                <c:pt idx="6">
                  <c:v>3.0000002384185791</c:v>
                </c:pt>
                <c:pt idx="7">
                  <c:v>3.5000002384185791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5.5000004768371582</c:v>
                </c:pt>
                <c:pt idx="12">
                  <c:v>6.0000004768371582</c:v>
                </c:pt>
                <c:pt idx="13">
                  <c:v>6.5000004768371582</c:v>
                </c:pt>
                <c:pt idx="14">
                  <c:v>7.0000004768371582</c:v>
                </c:pt>
                <c:pt idx="15">
                  <c:v>7.5000004768371582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7C-4646-B95E-EEA000F2C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609487"/>
        <c:axId val="1594616559"/>
      </c:scatterChart>
      <c:valAx>
        <c:axId val="1594609487"/>
        <c:scaling>
          <c:orientation val="minMax"/>
          <c:max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x[m]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0.84384306486229588"/>
              <c:y val="0.89719889180519097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94616559"/>
        <c:crosses val="autoZero"/>
        <c:crossBetween val="midCat"/>
      </c:valAx>
      <c:valAx>
        <c:axId val="1594616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94609487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13</xdr:row>
          <xdr:rowOff>19050</xdr:rowOff>
        </xdr:from>
        <xdr:to>
          <xdr:col>10</xdr:col>
          <xdr:colOff>895350</xdr:colOff>
          <xdr:row>16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計算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86329</xdr:colOff>
      <xdr:row>44</xdr:row>
      <xdr:rowOff>72841</xdr:rowOff>
    </xdr:from>
    <xdr:to>
      <xdr:col>15</xdr:col>
      <xdr:colOff>777327</xdr:colOff>
      <xdr:row>55</xdr:row>
      <xdr:rowOff>82780</xdr:rowOff>
    </xdr:to>
    <xdr:graphicFrame macro="">
      <xdr:nvGraphicFramePr>
        <xdr:cNvPr id="5" name="グラフ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128094</xdr:colOff>
      <xdr:row>57</xdr:row>
      <xdr:rowOff>194005</xdr:rowOff>
    </xdr:from>
    <xdr:to>
      <xdr:col>15</xdr:col>
      <xdr:colOff>788276</xdr:colOff>
      <xdr:row>68</xdr:row>
      <xdr:rowOff>167291</xdr:rowOff>
    </xdr:to>
    <xdr:graphicFrame macro="">
      <xdr:nvGraphicFramePr>
        <xdr:cNvPr id="6" name="グラフ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525517</xdr:colOff>
      <xdr:row>55</xdr:row>
      <xdr:rowOff>120432</xdr:rowOff>
    </xdr:from>
    <xdr:to>
      <xdr:col>14</xdr:col>
      <xdr:colOff>580258</xdr:colOff>
      <xdr:row>57</xdr:row>
      <xdr:rowOff>120432</xdr:rowOff>
    </xdr:to>
    <xdr:sp macro="" textlink="">
      <xdr:nvSpPr>
        <xdr:cNvPr id="8" name="テキスト ボックス 7"/>
        <xdr:cNvSpPr txBox="1"/>
      </xdr:nvSpPr>
      <xdr:spPr>
        <a:xfrm>
          <a:off x="13017500" y="11309570"/>
          <a:ext cx="2835603" cy="3941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dk1"/>
              </a:solidFill>
              <a:effectLst/>
              <a:latin typeface="HGｺﾞｼｯｸE" panose="020B0909000000000000" pitchFamily="49" charset="-128"/>
              <a:ea typeface="HGｺﾞｼｯｸE" panose="020B0909000000000000" pitchFamily="49" charset="-128"/>
              <a:cs typeface="+mn-cs"/>
            </a:rPr>
            <a:t>図</a:t>
          </a:r>
          <a:r>
            <a:rPr kumimoji="1" lang="ja-JP" altLang="en-US" sz="1100">
              <a:solidFill>
                <a:schemeClr val="dk1"/>
              </a:solidFill>
              <a:effectLst/>
              <a:latin typeface="HGｺﾞｼｯｸE" panose="020B0909000000000000" pitchFamily="49" charset="-128"/>
              <a:ea typeface="HGｺﾞｼｯｸE" panose="020B0909000000000000" pitchFamily="49" charset="-128"/>
              <a:cs typeface="+mn-cs"/>
            </a:rPr>
            <a:t>　</a:t>
          </a:r>
          <a:r>
            <a:rPr kumimoji="1" lang="ja-JP" altLang="ja-JP" sz="1100">
              <a:solidFill>
                <a:schemeClr val="dk1"/>
              </a:solidFill>
              <a:effectLst/>
              <a:latin typeface="HGｺﾞｼｯｸE" panose="020B0909000000000000" pitchFamily="49" charset="-128"/>
              <a:ea typeface="HGｺﾞｼｯｸE" panose="020B0909000000000000" pitchFamily="49" charset="-128"/>
              <a:cs typeface="+mn-cs"/>
            </a:rPr>
            <a:t>　水位と地盤高の変化</a:t>
          </a:r>
          <a:endParaRPr lang="ja-JP" altLang="ja-JP">
            <a:effectLst/>
            <a:latin typeface="HGｺﾞｼｯｸE" panose="020B0909000000000000" pitchFamily="49" charset="-128"/>
            <a:ea typeface="HGｺﾞｼｯｸE" panose="020B0909000000000000" pitchFamily="49" charset="-128"/>
          </a:endParaRPr>
        </a:p>
        <a:p>
          <a:endParaRPr kumimoji="1" lang="ja-JP" altLang="en-US" sz="1100"/>
        </a:p>
      </xdr:txBody>
    </xdr:sp>
    <xdr:clientData/>
  </xdr:twoCellAnchor>
  <xdr:twoCellAnchor>
    <xdr:from>
      <xdr:col>12</xdr:col>
      <xdr:colOff>678793</xdr:colOff>
      <xdr:row>69</xdr:row>
      <xdr:rowOff>10948</xdr:rowOff>
    </xdr:from>
    <xdr:to>
      <xdr:col>14</xdr:col>
      <xdr:colOff>733534</xdr:colOff>
      <xdr:row>71</xdr:row>
      <xdr:rowOff>10948</xdr:rowOff>
    </xdr:to>
    <xdr:sp macro="" textlink="">
      <xdr:nvSpPr>
        <xdr:cNvPr id="10" name="テキスト ボックス 9"/>
        <xdr:cNvSpPr txBox="1"/>
      </xdr:nvSpPr>
      <xdr:spPr>
        <a:xfrm>
          <a:off x="13170776" y="13959051"/>
          <a:ext cx="2835603" cy="3941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dk1"/>
              </a:solidFill>
              <a:effectLst/>
              <a:latin typeface="HGｺﾞｼｯｸE" panose="020B0909000000000000" pitchFamily="49" charset="-128"/>
              <a:ea typeface="HGｺﾞｼｯｸE" panose="020B0909000000000000" pitchFamily="49" charset="-128"/>
              <a:cs typeface="+mn-cs"/>
            </a:rPr>
            <a:t>図</a:t>
          </a:r>
          <a:r>
            <a:rPr kumimoji="1" lang="ja-JP" altLang="en-US" sz="1100">
              <a:solidFill>
                <a:schemeClr val="dk1"/>
              </a:solidFill>
              <a:effectLst/>
              <a:latin typeface="HGｺﾞｼｯｸE" panose="020B0909000000000000" pitchFamily="49" charset="-128"/>
              <a:ea typeface="HGｺﾞｼｯｸE" panose="020B0909000000000000" pitchFamily="49" charset="-128"/>
              <a:cs typeface="+mn-cs"/>
            </a:rPr>
            <a:t>　</a:t>
          </a:r>
          <a:r>
            <a:rPr kumimoji="1" lang="ja-JP" altLang="ja-JP" sz="1100">
              <a:solidFill>
                <a:schemeClr val="dk1"/>
              </a:solidFill>
              <a:effectLst/>
              <a:latin typeface="HGｺﾞｼｯｸE" panose="020B0909000000000000" pitchFamily="49" charset="-128"/>
              <a:ea typeface="HGｺﾞｼｯｸE" panose="020B0909000000000000" pitchFamily="49" charset="-128"/>
              <a:cs typeface="+mn-cs"/>
            </a:rPr>
            <a:t>　</a:t>
          </a:r>
          <a:r>
            <a:rPr kumimoji="1" lang="ja-JP" altLang="en-US" sz="1100">
              <a:solidFill>
                <a:schemeClr val="dk1"/>
              </a:solidFill>
              <a:effectLst/>
              <a:latin typeface="HGｺﾞｼｯｸE" panose="020B0909000000000000" pitchFamily="49" charset="-128"/>
              <a:ea typeface="HGｺﾞｼｯｸE" panose="020B0909000000000000" pitchFamily="49" charset="-128"/>
              <a:cs typeface="+mn-cs"/>
            </a:rPr>
            <a:t>川幅</a:t>
          </a:r>
          <a:r>
            <a:rPr kumimoji="1" lang="ja-JP" altLang="ja-JP" sz="1100">
              <a:solidFill>
                <a:schemeClr val="dk1"/>
              </a:solidFill>
              <a:effectLst/>
              <a:latin typeface="HGｺﾞｼｯｸE" panose="020B0909000000000000" pitchFamily="49" charset="-128"/>
              <a:ea typeface="HGｺﾞｼｯｸE" panose="020B0909000000000000" pitchFamily="49" charset="-128"/>
              <a:cs typeface="+mn-cs"/>
            </a:rPr>
            <a:t>の変化</a:t>
          </a:r>
          <a:endParaRPr lang="ja-JP" altLang="ja-JP">
            <a:effectLst/>
            <a:latin typeface="HGｺﾞｼｯｸE" panose="020B0909000000000000" pitchFamily="49" charset="-128"/>
            <a:ea typeface="HGｺﾞｼｯｸE" panose="020B0909000000000000" pitchFamily="49" charset="-128"/>
          </a:endParaRPr>
        </a:p>
        <a:p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24</xdr:row>
      <xdr:rowOff>28575</xdr:rowOff>
    </xdr:from>
    <xdr:to>
      <xdr:col>6</xdr:col>
      <xdr:colOff>23813</xdr:colOff>
      <xdr:row>35</xdr:row>
      <xdr:rowOff>47625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95250</xdr:colOff>
      <xdr:row>35</xdr:row>
      <xdr:rowOff>57150</xdr:rowOff>
    </xdr:from>
    <xdr:to>
      <xdr:col>5</xdr:col>
      <xdr:colOff>66675</xdr:colOff>
      <xdr:row>36</xdr:row>
      <xdr:rowOff>19050</xdr:rowOff>
    </xdr:to>
    <xdr:sp macro="" textlink="">
      <xdr:nvSpPr>
        <xdr:cNvPr id="4" name="テキスト ボックス 3"/>
        <xdr:cNvSpPr txBox="1"/>
      </xdr:nvSpPr>
      <xdr:spPr>
        <a:xfrm>
          <a:off x="1647825" y="8724900"/>
          <a:ext cx="30194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>
              <a:latin typeface="HGｺﾞｼｯｸE" panose="020B0909000000000000" pitchFamily="49" charset="-128"/>
              <a:ea typeface="HGｺﾞｼｯｸE" panose="020B0909000000000000" pitchFamily="49" charset="-128"/>
            </a:rPr>
            <a:t>図</a:t>
          </a:r>
          <a:r>
            <a:rPr kumimoji="1" lang="en-US" altLang="ja-JP" sz="1100">
              <a:latin typeface="HGｺﾞｼｯｸE" panose="020B0909000000000000" pitchFamily="49" charset="-128"/>
              <a:ea typeface="HGｺﾞｼｯｸE" panose="020B0909000000000000" pitchFamily="49" charset="-128"/>
            </a:rPr>
            <a:t>1</a:t>
          </a:r>
          <a:r>
            <a:rPr kumimoji="1" lang="ja-JP" altLang="en-US" sz="1100">
              <a:latin typeface="HGｺﾞｼｯｸE" panose="020B0909000000000000" pitchFamily="49" charset="-128"/>
              <a:ea typeface="HGｺﾞｼｯｸE" panose="020B0909000000000000" pitchFamily="49" charset="-128"/>
            </a:rPr>
            <a:t>　水位と地盤高の変化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03"/>
  <sheetViews>
    <sheetView tabSelected="1" topLeftCell="B34" zoomScale="87" zoomScaleNormal="87" workbookViewId="0">
      <selection activeCell="Q65" sqref="Q65"/>
    </sheetView>
  </sheetViews>
  <sheetFormatPr defaultColWidth="11.5546875" defaultRowHeight="15.75" customHeight="1" x14ac:dyDescent="0.4"/>
  <cols>
    <col min="1" max="1" width="17.88671875" customWidth="1"/>
    <col min="2" max="2" width="11.5546875" style="2"/>
    <col min="3" max="3" width="11.5546875" style="22"/>
    <col min="4" max="4" width="10.6640625" style="22" customWidth="1"/>
    <col min="5" max="5" width="9.33203125" customWidth="1"/>
    <col min="6" max="6" width="9.88671875" style="22" customWidth="1"/>
    <col min="7" max="8" width="11.5546875" style="22"/>
    <col min="10" max="10" width="17.44140625" customWidth="1"/>
    <col min="13" max="13" width="20.88671875" customWidth="1"/>
  </cols>
  <sheetData>
    <row r="1" spans="1:11" ht="26.25" customHeight="1" x14ac:dyDescent="0.4">
      <c r="A1" s="20" t="s">
        <v>21</v>
      </c>
      <c r="B1" s="19"/>
      <c r="C1" s="19"/>
      <c r="D1" s="19"/>
      <c r="E1" s="19"/>
      <c r="F1" s="19"/>
    </row>
    <row r="2" spans="1:11" ht="33" customHeight="1" x14ac:dyDescent="0.4">
      <c r="A2" s="15" t="s">
        <v>20</v>
      </c>
      <c r="B2" s="29" t="s">
        <v>15</v>
      </c>
      <c r="C2" s="30" t="s">
        <v>16</v>
      </c>
      <c r="D2" s="30" t="s">
        <v>18</v>
      </c>
      <c r="E2" s="16" t="s">
        <v>17</v>
      </c>
      <c r="F2" s="31" t="s">
        <v>19</v>
      </c>
    </row>
    <row r="3" spans="1:11" ht="15.75" customHeight="1" x14ac:dyDescent="0.4">
      <c r="A3" s="11">
        <v>0</v>
      </c>
      <c r="B3" s="12">
        <v>0</v>
      </c>
      <c r="C3" s="27">
        <v>5</v>
      </c>
      <c r="D3" s="27">
        <v>5</v>
      </c>
      <c r="E3" s="13">
        <v>220</v>
      </c>
      <c r="F3" s="28">
        <v>0.16883116883116883</v>
      </c>
      <c r="G3" s="22">
        <f>(220-E3)/2</f>
        <v>0</v>
      </c>
      <c r="H3" s="22">
        <f>-G3+220</f>
        <v>220</v>
      </c>
    </row>
    <row r="4" spans="1:11" ht="15.75" customHeight="1" x14ac:dyDescent="0.4">
      <c r="A4" s="5">
        <v>100</v>
      </c>
      <c r="B4" s="4">
        <v>-0.01</v>
      </c>
      <c r="C4" s="23">
        <v>5.0169811248779297</v>
      </c>
      <c r="D4" s="23">
        <v>5.0069808959960938</v>
      </c>
      <c r="E4" s="3">
        <v>220</v>
      </c>
      <c r="F4" s="24">
        <v>0.16797472276447944</v>
      </c>
      <c r="G4" s="22">
        <f t="shared" ref="G4:G67" si="0">(220-E4)/2</f>
        <v>0</v>
      </c>
      <c r="H4" s="22">
        <f t="shared" ref="H4:H67" si="1">-G4+220</f>
        <v>220</v>
      </c>
      <c r="J4" t="s">
        <v>6</v>
      </c>
      <c r="K4" s="1">
        <v>0.02</v>
      </c>
    </row>
    <row r="5" spans="1:11" ht="15.75" customHeight="1" x14ac:dyDescent="0.4">
      <c r="A5" s="5">
        <v>200</v>
      </c>
      <c r="B5" s="4">
        <v>-0.02</v>
      </c>
      <c r="C5" s="23">
        <v>5.0338826179504395</v>
      </c>
      <c r="D5" s="23">
        <v>5.0138826370239258</v>
      </c>
      <c r="E5" s="3">
        <v>220</v>
      </c>
      <c r="F5" s="24">
        <v>0.16712945894277609</v>
      </c>
      <c r="G5" s="22">
        <f t="shared" si="0"/>
        <v>0</v>
      </c>
      <c r="H5" s="22">
        <f t="shared" si="1"/>
        <v>220</v>
      </c>
      <c r="J5" t="s">
        <v>7</v>
      </c>
      <c r="K5" s="21"/>
    </row>
    <row r="6" spans="1:11" ht="15.75" customHeight="1" x14ac:dyDescent="0.4">
      <c r="A6" s="5">
        <v>300</v>
      </c>
      <c r="B6" s="4">
        <v>-0.03</v>
      </c>
      <c r="C6" s="23">
        <v>5.0507059097290039</v>
      </c>
      <c r="D6" s="23">
        <v>5.0207056999206543</v>
      </c>
      <c r="E6" s="3">
        <v>220</v>
      </c>
      <c r="F6" s="24">
        <v>0.16629512259356283</v>
      </c>
      <c r="G6" s="22">
        <f t="shared" si="0"/>
        <v>0</v>
      </c>
      <c r="H6" s="22">
        <f t="shared" si="1"/>
        <v>220</v>
      </c>
      <c r="J6" t="s">
        <v>8</v>
      </c>
      <c r="K6" s="21"/>
    </row>
    <row r="7" spans="1:11" ht="15.75" customHeight="1" x14ac:dyDescent="0.4">
      <c r="A7" s="5">
        <v>400</v>
      </c>
      <c r="B7" s="4">
        <v>-0.04</v>
      </c>
      <c r="C7" s="23">
        <v>5.0674524307250977</v>
      </c>
      <c r="D7" s="23">
        <v>5.0274524688720703</v>
      </c>
      <c r="E7" s="3">
        <v>220</v>
      </c>
      <c r="F7" s="24">
        <v>0.16547146532285686</v>
      </c>
      <c r="G7" s="22">
        <f t="shared" si="0"/>
        <v>0</v>
      </c>
      <c r="H7" s="22">
        <f t="shared" si="1"/>
        <v>220</v>
      </c>
      <c r="J7" t="s">
        <v>9</v>
      </c>
      <c r="K7" s="1">
        <v>1300</v>
      </c>
    </row>
    <row r="8" spans="1:11" ht="15.75" customHeight="1" x14ac:dyDescent="0.4">
      <c r="A8" s="5">
        <v>500</v>
      </c>
      <c r="B8" s="4">
        <v>-0.04</v>
      </c>
      <c r="C8" s="23">
        <v>5.0738635063171387</v>
      </c>
      <c r="D8" s="23">
        <v>5.0338635444641113</v>
      </c>
      <c r="E8" s="3">
        <v>220</v>
      </c>
      <c r="F8" s="24">
        <v>0.16515794243495763</v>
      </c>
      <c r="G8" s="22">
        <f t="shared" si="0"/>
        <v>0</v>
      </c>
      <c r="H8" s="22">
        <f t="shared" si="1"/>
        <v>220</v>
      </c>
      <c r="J8" t="s">
        <v>10</v>
      </c>
      <c r="K8" s="1">
        <v>100</v>
      </c>
    </row>
    <row r="9" spans="1:11" ht="15.75" customHeight="1" x14ac:dyDescent="0.4">
      <c r="A9" s="5">
        <v>600</v>
      </c>
      <c r="B9" s="4">
        <v>-0.03</v>
      </c>
      <c r="C9" s="23">
        <v>5.0699882507324219</v>
      </c>
      <c r="D9" s="23">
        <v>5.0399880409240723</v>
      </c>
      <c r="E9" s="3">
        <v>220</v>
      </c>
      <c r="F9" s="24">
        <v>0.16534733681620237</v>
      </c>
      <c r="G9" s="22">
        <f t="shared" si="0"/>
        <v>0</v>
      </c>
      <c r="H9" s="22">
        <f t="shared" si="1"/>
        <v>220</v>
      </c>
      <c r="J9" t="s">
        <v>11</v>
      </c>
      <c r="K9" s="1">
        <v>20000</v>
      </c>
    </row>
    <row r="10" spans="1:11" ht="15.75" customHeight="1" x14ac:dyDescent="0.4">
      <c r="A10" s="5">
        <v>700</v>
      </c>
      <c r="B10" s="4">
        <v>-0.02</v>
      </c>
      <c r="C10" s="23">
        <v>5.0661287307739258</v>
      </c>
      <c r="D10" s="23">
        <v>5.0461287498474121</v>
      </c>
      <c r="E10" s="3">
        <v>220</v>
      </c>
      <c r="F10" s="24">
        <v>0.16553632220544715</v>
      </c>
      <c r="G10" s="22">
        <f t="shared" si="0"/>
        <v>0</v>
      </c>
      <c r="H10" s="22">
        <f t="shared" si="1"/>
        <v>220</v>
      </c>
      <c r="J10" t="s">
        <v>12</v>
      </c>
      <c r="K10" s="1">
        <v>0</v>
      </c>
    </row>
    <row r="11" spans="1:11" ht="15.75" customHeight="1" x14ac:dyDescent="0.4">
      <c r="A11" s="5">
        <v>800</v>
      </c>
      <c r="B11" s="4">
        <v>-0.01</v>
      </c>
      <c r="C11" s="23">
        <v>5.0622859001159668</v>
      </c>
      <c r="D11" s="23">
        <v>5.0522856712341309</v>
      </c>
      <c r="E11" s="3">
        <v>220</v>
      </c>
      <c r="F11" s="24">
        <v>0.16572484833001291</v>
      </c>
      <c r="G11" s="22">
        <f t="shared" si="0"/>
        <v>0</v>
      </c>
      <c r="H11" s="22">
        <f t="shared" si="1"/>
        <v>220</v>
      </c>
      <c r="J11" t="s">
        <v>13</v>
      </c>
      <c r="K11" s="1">
        <v>5</v>
      </c>
    </row>
    <row r="12" spans="1:11" ht="15.75" customHeight="1" x14ac:dyDescent="0.4">
      <c r="A12" s="5">
        <v>900</v>
      </c>
      <c r="B12" s="4">
        <v>0</v>
      </c>
      <c r="C12" s="23">
        <v>5.0584588050842285</v>
      </c>
      <c r="D12" s="23">
        <v>5.0584588050842285</v>
      </c>
      <c r="E12" s="3">
        <v>220</v>
      </c>
      <c r="F12" s="24">
        <v>0.16591295839955147</v>
      </c>
      <c r="G12" s="22">
        <f t="shared" si="0"/>
        <v>0</v>
      </c>
      <c r="H12" s="22">
        <f t="shared" si="1"/>
        <v>220</v>
      </c>
    </row>
    <row r="13" spans="1:11" ht="15.75" customHeight="1" x14ac:dyDescent="0.4">
      <c r="A13" s="5">
        <v>1000</v>
      </c>
      <c r="B13" s="4">
        <v>0</v>
      </c>
      <c r="C13" s="23">
        <v>5.0649089813232422</v>
      </c>
      <c r="D13" s="23">
        <v>5.0649089813232422</v>
      </c>
      <c r="E13" s="3">
        <v>220</v>
      </c>
      <c r="F13" s="24">
        <v>0.16559612337700153</v>
      </c>
      <c r="G13" s="22">
        <f t="shared" si="0"/>
        <v>0</v>
      </c>
      <c r="H13" s="22">
        <f t="shared" si="1"/>
        <v>220</v>
      </c>
    </row>
    <row r="14" spans="1:11" ht="15.75" customHeight="1" x14ac:dyDescent="0.4">
      <c r="A14" s="5">
        <v>1100</v>
      </c>
      <c r="B14" s="4">
        <v>0</v>
      </c>
      <c r="C14" s="23">
        <v>5.0713310241699219</v>
      </c>
      <c r="D14" s="23">
        <v>5.0713310241699219</v>
      </c>
      <c r="E14" s="3">
        <v>220</v>
      </c>
      <c r="F14" s="24">
        <v>0.16528167082632692</v>
      </c>
      <c r="G14" s="22">
        <f t="shared" si="0"/>
        <v>0</v>
      </c>
      <c r="H14" s="22">
        <f t="shared" si="1"/>
        <v>220</v>
      </c>
    </row>
    <row r="15" spans="1:11" ht="15.75" customHeight="1" x14ac:dyDescent="0.4">
      <c r="A15" s="5">
        <v>1200</v>
      </c>
      <c r="B15" s="4">
        <v>0.01</v>
      </c>
      <c r="C15" s="23">
        <v>5.0674667358398438</v>
      </c>
      <c r="D15" s="23">
        <v>5.0774669647216797</v>
      </c>
      <c r="E15" s="3">
        <v>220</v>
      </c>
      <c r="F15" s="24">
        <v>0.16547076465127333</v>
      </c>
      <c r="G15" s="22">
        <f t="shared" si="0"/>
        <v>0</v>
      </c>
      <c r="H15" s="22">
        <f t="shared" si="1"/>
        <v>220</v>
      </c>
    </row>
    <row r="16" spans="1:11" ht="15.75" customHeight="1" x14ac:dyDescent="0.4">
      <c r="A16" s="5">
        <v>1300</v>
      </c>
      <c r="B16" s="4">
        <v>0.02</v>
      </c>
      <c r="C16" s="23">
        <v>5.0636181831359863</v>
      </c>
      <c r="D16" s="23">
        <v>5.0836181640625</v>
      </c>
      <c r="E16" s="3">
        <v>220</v>
      </c>
      <c r="F16" s="24">
        <v>0.16565944710809252</v>
      </c>
      <c r="G16" s="22">
        <f t="shared" si="0"/>
        <v>0</v>
      </c>
      <c r="H16" s="22">
        <f t="shared" si="1"/>
        <v>220</v>
      </c>
    </row>
    <row r="17" spans="1:8" ht="15.75" customHeight="1" x14ac:dyDescent="0.4">
      <c r="A17" s="5">
        <v>1400</v>
      </c>
      <c r="B17" s="4">
        <v>0.03</v>
      </c>
      <c r="C17" s="23">
        <v>5.0597858428955078</v>
      </c>
      <c r="D17" s="23">
        <v>5.0897860527038574</v>
      </c>
      <c r="E17" s="3">
        <v>220</v>
      </c>
      <c r="F17" s="24">
        <v>0.16584769130946522</v>
      </c>
      <c r="G17" s="22">
        <f t="shared" si="0"/>
        <v>0</v>
      </c>
      <c r="H17" s="22">
        <f t="shared" si="1"/>
        <v>220</v>
      </c>
    </row>
    <row r="18" spans="1:8" ht="15.75" customHeight="1" x14ac:dyDescent="0.4">
      <c r="A18" s="5">
        <v>1500</v>
      </c>
      <c r="B18" s="4">
        <v>-0.01</v>
      </c>
      <c r="C18" s="23">
        <v>5.1072745323181152</v>
      </c>
      <c r="D18" s="23">
        <v>5.0972743034362793</v>
      </c>
      <c r="E18" s="3">
        <v>219</v>
      </c>
      <c r="F18" s="24">
        <v>0.16353993802670902</v>
      </c>
      <c r="G18" s="22">
        <f t="shared" si="0"/>
        <v>0.5</v>
      </c>
      <c r="H18" s="22">
        <f t="shared" si="1"/>
        <v>219.5</v>
      </c>
    </row>
    <row r="19" spans="1:8" ht="15.75" customHeight="1" x14ac:dyDescent="0.4">
      <c r="A19" s="5">
        <v>1600</v>
      </c>
      <c r="B19" s="4">
        <v>-0.05</v>
      </c>
      <c r="C19" s="23">
        <v>5.1545329093933105</v>
      </c>
      <c r="D19" s="23">
        <v>5.1045327186584473</v>
      </c>
      <c r="E19" s="3">
        <v>218</v>
      </c>
      <c r="F19" s="24">
        <v>0.16129602270025933</v>
      </c>
      <c r="G19" s="22">
        <f t="shared" si="0"/>
        <v>1</v>
      </c>
      <c r="H19" s="22">
        <f t="shared" si="1"/>
        <v>219</v>
      </c>
    </row>
    <row r="20" spans="1:8" ht="15.75" customHeight="1" x14ac:dyDescent="0.4">
      <c r="A20" s="5">
        <v>1700</v>
      </c>
      <c r="B20" s="4">
        <v>-0.1</v>
      </c>
      <c r="C20" s="23">
        <v>5.211817741394043</v>
      </c>
      <c r="D20" s="23">
        <v>5.1118178367614746</v>
      </c>
      <c r="E20" s="3">
        <v>217</v>
      </c>
      <c r="F20" s="24">
        <v>0.15864405562062864</v>
      </c>
      <c r="G20" s="22">
        <f t="shared" si="0"/>
        <v>1.5</v>
      </c>
      <c r="H20" s="22">
        <f t="shared" si="1"/>
        <v>218.5</v>
      </c>
    </row>
    <row r="21" spans="1:8" ht="15.75" customHeight="1" x14ac:dyDescent="0.4">
      <c r="A21" s="5">
        <v>1800</v>
      </c>
      <c r="B21" s="4">
        <v>-0.15</v>
      </c>
      <c r="C21" s="23">
        <v>5.2688393592834473</v>
      </c>
      <c r="D21" s="23">
        <v>5.1188392639160156</v>
      </c>
      <c r="E21" s="3">
        <v>216</v>
      </c>
      <c r="F21" s="24">
        <v>0.15607566612821525</v>
      </c>
      <c r="G21" s="22">
        <f t="shared" si="0"/>
        <v>2</v>
      </c>
      <c r="H21" s="22">
        <f t="shared" si="1"/>
        <v>218</v>
      </c>
    </row>
    <row r="22" spans="1:8" ht="15.75" customHeight="1" x14ac:dyDescent="0.4">
      <c r="A22" s="5">
        <v>1900</v>
      </c>
      <c r="B22" s="4">
        <v>-0.2</v>
      </c>
      <c r="C22" s="23">
        <v>5.3256111145019531</v>
      </c>
      <c r="D22" s="23">
        <v>5.1256113052368164</v>
      </c>
      <c r="E22" s="3">
        <v>215</v>
      </c>
      <c r="F22" s="24">
        <v>0.15358664660898452</v>
      </c>
      <c r="G22" s="22">
        <f t="shared" si="0"/>
        <v>2.5</v>
      </c>
      <c r="H22" s="22">
        <f t="shared" si="1"/>
        <v>217.5</v>
      </c>
    </row>
    <row r="23" spans="1:8" ht="15.75" customHeight="1" x14ac:dyDescent="0.4">
      <c r="A23" s="5">
        <v>2000</v>
      </c>
      <c r="B23" s="4">
        <v>-0.3</v>
      </c>
      <c r="C23" s="23">
        <v>5.4332671165466309</v>
      </c>
      <c r="D23" s="23">
        <v>5.1332669258117676</v>
      </c>
      <c r="E23" s="3">
        <v>214</v>
      </c>
      <c r="F23" s="24">
        <v>0.14904453223376354</v>
      </c>
      <c r="G23" s="22">
        <f t="shared" si="0"/>
        <v>3</v>
      </c>
      <c r="H23" s="22">
        <f t="shared" si="1"/>
        <v>217</v>
      </c>
    </row>
    <row r="24" spans="1:8" ht="15.75" customHeight="1" x14ac:dyDescent="0.4">
      <c r="A24" s="5">
        <v>2100</v>
      </c>
      <c r="B24" s="4">
        <v>-0.3</v>
      </c>
      <c r="C24" s="23">
        <v>5.4383249282836914</v>
      </c>
      <c r="D24" s="23">
        <v>5.1383247375488281</v>
      </c>
      <c r="E24" s="3">
        <v>213</v>
      </c>
      <c r="F24" s="24">
        <v>0.14883665649249631</v>
      </c>
      <c r="G24" s="22">
        <f t="shared" si="0"/>
        <v>3.5</v>
      </c>
      <c r="H24" s="22">
        <f t="shared" si="1"/>
        <v>216.5</v>
      </c>
    </row>
    <row r="25" spans="1:8" ht="15.75" customHeight="1" x14ac:dyDescent="0.4">
      <c r="A25" s="5">
        <v>2200</v>
      </c>
      <c r="B25" s="4">
        <v>-0.2</v>
      </c>
      <c r="C25" s="23">
        <v>5.3412594795227051</v>
      </c>
      <c r="D25" s="23">
        <v>5.1412596702575684</v>
      </c>
      <c r="E25" s="3">
        <v>212</v>
      </c>
      <c r="F25" s="24">
        <v>0.15291219367715012</v>
      </c>
      <c r="G25" s="22">
        <f t="shared" si="0"/>
        <v>4</v>
      </c>
      <c r="H25" s="22">
        <f t="shared" si="1"/>
        <v>216</v>
      </c>
    </row>
    <row r="26" spans="1:8" ht="15.75" customHeight="1" x14ac:dyDescent="0.4">
      <c r="A26" s="5">
        <v>2300</v>
      </c>
      <c r="B26" s="4">
        <v>0</v>
      </c>
      <c r="C26" s="23">
        <v>5.1421737670898438</v>
      </c>
      <c r="D26" s="23">
        <v>5.1421737670898438</v>
      </c>
      <c r="E26" s="3">
        <v>211</v>
      </c>
      <c r="F26" s="24">
        <v>0.16187788105454809</v>
      </c>
      <c r="G26" s="22">
        <f t="shared" si="0"/>
        <v>4.5</v>
      </c>
      <c r="H26" s="22">
        <f t="shared" si="1"/>
        <v>215.5</v>
      </c>
    </row>
    <row r="27" spans="1:8" ht="15.75" customHeight="1" x14ac:dyDescent="0.4">
      <c r="A27" s="5">
        <v>2400</v>
      </c>
      <c r="B27" s="4">
        <v>0.05</v>
      </c>
      <c r="C27" s="23">
        <v>5.0970292091369629</v>
      </c>
      <c r="D27" s="23">
        <v>5.1470293998718262</v>
      </c>
      <c r="E27" s="3">
        <v>210</v>
      </c>
      <c r="F27" s="24">
        <v>0.16403327281258945</v>
      </c>
      <c r="G27" s="22">
        <f t="shared" si="0"/>
        <v>5</v>
      </c>
      <c r="H27" s="22">
        <f t="shared" si="1"/>
        <v>215</v>
      </c>
    </row>
    <row r="28" spans="1:8" ht="15.75" customHeight="1" x14ac:dyDescent="0.4">
      <c r="A28" s="5">
        <v>2500</v>
      </c>
      <c r="B28" s="4">
        <v>0.06</v>
      </c>
      <c r="C28" s="23">
        <v>5.0930590629577637</v>
      </c>
      <c r="D28" s="23">
        <v>5.1530590057373047</v>
      </c>
      <c r="E28" s="3">
        <v>209</v>
      </c>
      <c r="F28" s="24">
        <v>0.1642251112420543</v>
      </c>
      <c r="G28" s="22">
        <f t="shared" si="0"/>
        <v>5.5</v>
      </c>
      <c r="H28" s="22">
        <f t="shared" si="1"/>
        <v>214.5</v>
      </c>
    </row>
    <row r="29" spans="1:8" ht="15.75" customHeight="1" x14ac:dyDescent="0.4">
      <c r="A29" s="5">
        <v>2600</v>
      </c>
      <c r="B29" s="4">
        <v>0.1</v>
      </c>
      <c r="C29" s="23">
        <v>5.0583372116088867</v>
      </c>
      <c r="D29" s="23">
        <v>5.1583371162414551</v>
      </c>
      <c r="E29" s="3">
        <v>208</v>
      </c>
      <c r="F29" s="24">
        <v>0.16591894081638375</v>
      </c>
      <c r="G29" s="22">
        <f t="shared" si="0"/>
        <v>6</v>
      </c>
      <c r="H29" s="22">
        <f t="shared" si="1"/>
        <v>214</v>
      </c>
    </row>
    <row r="30" spans="1:8" ht="15.75" customHeight="1" x14ac:dyDescent="0.4">
      <c r="A30" s="5">
        <v>2700</v>
      </c>
      <c r="B30" s="4">
        <v>0.15</v>
      </c>
      <c r="C30" s="23">
        <v>5.013481616973877</v>
      </c>
      <c r="D30" s="23">
        <v>5.1634817123413086</v>
      </c>
      <c r="E30" s="3">
        <v>207</v>
      </c>
      <c r="F30" s="24">
        <v>0.16815062789847166</v>
      </c>
      <c r="G30" s="22">
        <f t="shared" si="0"/>
        <v>6.5</v>
      </c>
      <c r="H30" s="22">
        <f t="shared" si="1"/>
        <v>213.5</v>
      </c>
    </row>
    <row r="31" spans="1:8" ht="15.75" customHeight="1" x14ac:dyDescent="0.4">
      <c r="A31" s="5">
        <v>2800</v>
      </c>
      <c r="B31" s="4">
        <v>0.23</v>
      </c>
      <c r="C31" s="23">
        <v>4.937985897064209</v>
      </c>
      <c r="D31" s="23">
        <v>5.1679859161376953</v>
      </c>
      <c r="E31" s="3">
        <v>206</v>
      </c>
      <c r="F31" s="24">
        <v>0.17202155364724214</v>
      </c>
      <c r="G31" s="22">
        <f t="shared" si="0"/>
        <v>7</v>
      </c>
      <c r="H31" s="22">
        <f t="shared" si="1"/>
        <v>213</v>
      </c>
    </row>
    <row r="32" spans="1:8" ht="15.75" customHeight="1" x14ac:dyDescent="0.4">
      <c r="A32" s="5">
        <v>2900</v>
      </c>
      <c r="B32" s="4">
        <v>0.34</v>
      </c>
      <c r="C32" s="23">
        <v>4.8319025039672852</v>
      </c>
      <c r="D32" s="23">
        <v>5.1719026565551758</v>
      </c>
      <c r="E32" s="3">
        <v>205</v>
      </c>
      <c r="F32" s="24">
        <v>0.17771757951782535</v>
      </c>
      <c r="G32" s="22">
        <f t="shared" si="0"/>
        <v>7.5</v>
      </c>
      <c r="H32" s="22">
        <f t="shared" si="1"/>
        <v>212.5</v>
      </c>
    </row>
    <row r="33" spans="1:8" ht="15.75" customHeight="1" x14ac:dyDescent="0.4">
      <c r="A33" s="5">
        <v>3000</v>
      </c>
      <c r="B33" s="4">
        <v>0.4</v>
      </c>
      <c r="C33" s="23">
        <v>4.7776494026184082</v>
      </c>
      <c r="D33" s="23">
        <v>5.1776494979858398</v>
      </c>
      <c r="E33" s="3">
        <v>204</v>
      </c>
      <c r="F33" s="24">
        <v>0.18075329312090607</v>
      </c>
      <c r="G33" s="22">
        <f t="shared" si="0"/>
        <v>8</v>
      </c>
      <c r="H33" s="22">
        <f t="shared" si="1"/>
        <v>212</v>
      </c>
    </row>
    <row r="34" spans="1:8" ht="15.75" customHeight="1" x14ac:dyDescent="0.4">
      <c r="A34" s="5">
        <v>3100</v>
      </c>
      <c r="B34" s="4">
        <v>0.34</v>
      </c>
      <c r="C34" s="23">
        <v>4.8473458290100098</v>
      </c>
      <c r="D34" s="23">
        <v>5.1873459815979004</v>
      </c>
      <c r="E34" s="3">
        <v>203</v>
      </c>
      <c r="F34" s="24">
        <v>0.17686896154470702</v>
      </c>
      <c r="G34" s="22">
        <f t="shared" si="0"/>
        <v>8.5</v>
      </c>
      <c r="H34" s="22">
        <f t="shared" si="1"/>
        <v>211.5</v>
      </c>
    </row>
    <row r="35" spans="1:8" ht="15.75" customHeight="1" x14ac:dyDescent="0.4">
      <c r="A35" s="5">
        <v>3200</v>
      </c>
      <c r="B35" s="4">
        <v>0.3</v>
      </c>
      <c r="C35" s="23">
        <v>4.8959922790527344</v>
      </c>
      <c r="D35" s="23">
        <v>5.1959924697875977</v>
      </c>
      <c r="E35" s="3">
        <v>202</v>
      </c>
      <c r="F35" s="24">
        <v>0.17423947235496662</v>
      </c>
      <c r="G35" s="22">
        <f t="shared" si="0"/>
        <v>9</v>
      </c>
      <c r="H35" s="22">
        <f t="shared" si="1"/>
        <v>211</v>
      </c>
    </row>
    <row r="36" spans="1:8" ht="15.75" customHeight="1" x14ac:dyDescent="0.4">
      <c r="A36" s="5">
        <v>3300</v>
      </c>
      <c r="B36" s="4">
        <v>0.21</v>
      </c>
      <c r="C36" s="23">
        <v>4.9957923889160156</v>
      </c>
      <c r="D36" s="23">
        <v>5.2057924270629883</v>
      </c>
      <c r="E36" s="3">
        <v>201</v>
      </c>
      <c r="F36" s="24">
        <v>0.16904450599456719</v>
      </c>
      <c r="G36" s="22">
        <f t="shared" si="0"/>
        <v>9.5</v>
      </c>
      <c r="H36" s="22">
        <f t="shared" si="1"/>
        <v>210.5</v>
      </c>
    </row>
    <row r="37" spans="1:8" ht="15.75" customHeight="1" x14ac:dyDescent="0.4">
      <c r="A37" s="5">
        <v>3400</v>
      </c>
      <c r="B37" s="4">
        <v>0.15</v>
      </c>
      <c r="C37" s="23">
        <v>5.0641489028930664</v>
      </c>
      <c r="D37" s="23">
        <v>5.214148998260498</v>
      </c>
      <c r="E37" s="3">
        <v>200</v>
      </c>
      <c r="F37" s="24">
        <v>0.16563340627486026</v>
      </c>
      <c r="G37" s="22">
        <f t="shared" si="0"/>
        <v>10</v>
      </c>
      <c r="H37" s="22">
        <f t="shared" si="1"/>
        <v>210</v>
      </c>
    </row>
    <row r="38" spans="1:8" ht="15.75" customHeight="1" x14ac:dyDescent="0.4">
      <c r="A38" s="5">
        <v>3500</v>
      </c>
      <c r="B38" s="4">
        <v>0.11</v>
      </c>
      <c r="C38" s="23">
        <v>5.1116161346435547</v>
      </c>
      <c r="D38" s="23">
        <v>5.221616268157959</v>
      </c>
      <c r="E38" s="3">
        <v>199</v>
      </c>
      <c r="F38" s="24">
        <v>0.16333162585055927</v>
      </c>
      <c r="G38" s="22">
        <f t="shared" si="0"/>
        <v>10.5</v>
      </c>
      <c r="H38" s="22">
        <f t="shared" si="1"/>
        <v>209.5</v>
      </c>
    </row>
    <row r="39" spans="1:8" ht="15.75" customHeight="1" x14ac:dyDescent="0.4">
      <c r="A39" s="5">
        <v>3600</v>
      </c>
      <c r="B39" s="4">
        <v>0.08</v>
      </c>
      <c r="C39" s="23">
        <v>5.1486005783081055</v>
      </c>
      <c r="D39" s="23">
        <v>5.2286005020141602</v>
      </c>
      <c r="E39" s="3">
        <v>198</v>
      </c>
      <c r="F39" s="24">
        <v>0.16157487623661002</v>
      </c>
      <c r="G39" s="22">
        <f t="shared" si="0"/>
        <v>11</v>
      </c>
      <c r="H39" s="22">
        <f t="shared" si="1"/>
        <v>209</v>
      </c>
    </row>
    <row r="40" spans="1:8" ht="15.75" customHeight="1" x14ac:dyDescent="0.4">
      <c r="A40" s="5">
        <v>3700</v>
      </c>
      <c r="B40" s="4">
        <v>-0.1</v>
      </c>
      <c r="C40" s="23">
        <v>5.3391361236572266</v>
      </c>
      <c r="D40" s="23">
        <v>5.2391362190246582</v>
      </c>
      <c r="E40" s="3">
        <v>197</v>
      </c>
      <c r="F40" s="24">
        <v>0.15300342171725168</v>
      </c>
      <c r="G40" s="22">
        <f t="shared" si="0"/>
        <v>11.5</v>
      </c>
      <c r="H40" s="22">
        <f t="shared" si="1"/>
        <v>208.5</v>
      </c>
    </row>
    <row r="41" spans="1:8" ht="15.75" customHeight="1" x14ac:dyDescent="0.4">
      <c r="A41" s="5">
        <v>3800</v>
      </c>
      <c r="B41" s="4">
        <v>-0.1</v>
      </c>
      <c r="C41" s="23">
        <v>5.3445034027099609</v>
      </c>
      <c r="D41" s="23">
        <v>5.2445034980773926</v>
      </c>
      <c r="E41" s="3">
        <v>196</v>
      </c>
      <c r="F41" s="24">
        <v>0.15277299642249223</v>
      </c>
      <c r="G41" s="22">
        <f t="shared" si="0"/>
        <v>12</v>
      </c>
      <c r="H41" s="22">
        <f t="shared" si="1"/>
        <v>208</v>
      </c>
    </row>
    <row r="42" spans="1:8" ht="15.75" customHeight="1" x14ac:dyDescent="0.4">
      <c r="A42" s="5">
        <v>3900</v>
      </c>
      <c r="B42" s="4">
        <v>-0.2</v>
      </c>
      <c r="C42" s="23">
        <v>5.4520711898803711</v>
      </c>
      <c r="D42" s="23">
        <v>5.2520713806152344</v>
      </c>
      <c r="E42" s="3">
        <v>195</v>
      </c>
      <c r="F42" s="24">
        <v>0.14827412051469369</v>
      </c>
      <c r="G42" s="22">
        <f t="shared" si="0"/>
        <v>12.5</v>
      </c>
      <c r="H42" s="22">
        <f t="shared" si="1"/>
        <v>207.5</v>
      </c>
    </row>
    <row r="43" spans="1:8" ht="15.75" customHeight="1" x14ac:dyDescent="0.4">
      <c r="A43" s="5">
        <v>4000</v>
      </c>
      <c r="B43" s="4">
        <v>-0.3</v>
      </c>
      <c r="C43" s="23">
        <v>5.5591616630554199</v>
      </c>
      <c r="D43" s="23">
        <v>5.2591614723205566</v>
      </c>
      <c r="E43" s="3">
        <v>194</v>
      </c>
      <c r="F43" s="24">
        <v>0.14401034077555688</v>
      </c>
      <c r="G43" s="22">
        <f t="shared" si="0"/>
        <v>13</v>
      </c>
      <c r="H43" s="22">
        <f t="shared" si="1"/>
        <v>207</v>
      </c>
    </row>
    <row r="44" spans="1:8" ht="15.75" customHeight="1" x14ac:dyDescent="0.4">
      <c r="A44" s="5">
        <v>4100</v>
      </c>
      <c r="B44" s="4">
        <v>-0.3</v>
      </c>
      <c r="C44" s="23">
        <v>5.5638413429260254</v>
      </c>
      <c r="D44" s="23">
        <v>5.2638411521911621</v>
      </c>
      <c r="E44" s="3">
        <v>193</v>
      </c>
      <c r="F44" s="24">
        <v>0.1438286909428671</v>
      </c>
      <c r="G44" s="22">
        <f t="shared" si="0"/>
        <v>13.5</v>
      </c>
      <c r="H44" s="22">
        <f t="shared" si="1"/>
        <v>206.5</v>
      </c>
    </row>
    <row r="45" spans="1:8" ht="15.75" customHeight="1" x14ac:dyDescent="0.4">
      <c r="A45" s="5">
        <v>4200</v>
      </c>
      <c r="B45" s="4">
        <v>-0.25</v>
      </c>
      <c r="C45" s="23">
        <v>5.5175228118896484</v>
      </c>
      <c r="D45" s="23">
        <v>5.2675228118896484</v>
      </c>
      <c r="E45" s="3">
        <v>192</v>
      </c>
      <c r="F45" s="24">
        <v>0.14564360747928934</v>
      </c>
      <c r="G45" s="22">
        <f t="shared" si="0"/>
        <v>14</v>
      </c>
      <c r="H45" s="22">
        <f t="shared" si="1"/>
        <v>206</v>
      </c>
    </row>
    <row r="46" spans="1:8" ht="15.75" customHeight="1" x14ac:dyDescent="0.4">
      <c r="A46" s="5">
        <v>4300</v>
      </c>
      <c r="B46" s="4">
        <v>-0.2</v>
      </c>
      <c r="C46" s="23">
        <v>5.4713139533996582</v>
      </c>
      <c r="D46" s="23">
        <v>5.2713141441345215</v>
      </c>
      <c r="E46" s="3">
        <v>191</v>
      </c>
      <c r="F46" s="24">
        <v>0.14749258238064519</v>
      </c>
      <c r="G46" s="22">
        <f t="shared" si="0"/>
        <v>14.5</v>
      </c>
      <c r="H46" s="22">
        <f t="shared" si="1"/>
        <v>205.5</v>
      </c>
    </row>
    <row r="47" spans="1:8" ht="15.75" customHeight="1" x14ac:dyDescent="0.4">
      <c r="A47" s="5">
        <v>4400</v>
      </c>
      <c r="B47" s="4">
        <v>-0.35</v>
      </c>
      <c r="C47" s="23">
        <v>5.6293582916259766</v>
      </c>
      <c r="D47" s="23">
        <v>5.2793583869934082</v>
      </c>
      <c r="E47" s="3">
        <v>190</v>
      </c>
      <c r="F47" s="24">
        <v>0.14132509856803843</v>
      </c>
      <c r="G47" s="22">
        <f t="shared" si="0"/>
        <v>15</v>
      </c>
      <c r="H47" s="22">
        <f t="shared" si="1"/>
        <v>205</v>
      </c>
    </row>
    <row r="48" spans="1:8" ht="15.75" customHeight="1" x14ac:dyDescent="0.4">
      <c r="A48" s="5">
        <v>4500</v>
      </c>
      <c r="B48" s="4">
        <v>-0.4</v>
      </c>
      <c r="C48" s="23">
        <v>5.6847944259643555</v>
      </c>
      <c r="D48" s="23">
        <v>5.2847943305969238</v>
      </c>
      <c r="E48" s="3">
        <v>189</v>
      </c>
      <c r="F48" s="24">
        <v>0.1392629168415617</v>
      </c>
      <c r="G48" s="22">
        <f t="shared" si="0"/>
        <v>15.5</v>
      </c>
      <c r="H48" s="22">
        <f t="shared" si="1"/>
        <v>204.5</v>
      </c>
    </row>
    <row r="49" spans="1:8" ht="15.75" customHeight="1" x14ac:dyDescent="0.4">
      <c r="A49" s="5">
        <v>4600</v>
      </c>
      <c r="B49" s="4">
        <v>-0.36</v>
      </c>
      <c r="C49" s="23">
        <v>5.6483936309814453</v>
      </c>
      <c r="D49" s="23">
        <v>5.288393497467041</v>
      </c>
      <c r="E49" s="3">
        <v>188</v>
      </c>
      <c r="F49" s="24">
        <v>0.14061129294143923</v>
      </c>
      <c r="G49" s="22">
        <f t="shared" si="0"/>
        <v>16</v>
      </c>
      <c r="H49" s="22">
        <f t="shared" si="1"/>
        <v>204</v>
      </c>
    </row>
    <row r="50" spans="1:8" ht="15.75" customHeight="1" x14ac:dyDescent="0.4">
      <c r="A50" s="5">
        <v>4700</v>
      </c>
      <c r="B50" s="4">
        <v>-0.35</v>
      </c>
      <c r="C50" s="23">
        <v>5.64263916015625</v>
      </c>
      <c r="D50" s="23">
        <v>5.2926392555236816</v>
      </c>
      <c r="E50" s="3">
        <v>187</v>
      </c>
      <c r="F50" s="24">
        <v>0.14082644488184576</v>
      </c>
      <c r="G50" s="22">
        <f t="shared" si="0"/>
        <v>16.5</v>
      </c>
      <c r="H50" s="22">
        <f t="shared" si="1"/>
        <v>203.5</v>
      </c>
    </row>
    <row r="51" spans="1:8" ht="15.75" customHeight="1" x14ac:dyDescent="0.4">
      <c r="A51" s="5">
        <v>4800</v>
      </c>
      <c r="B51" s="4">
        <v>-0.25</v>
      </c>
      <c r="C51" s="23">
        <v>5.5451993942260742</v>
      </c>
      <c r="D51" s="23">
        <v>5.2951993942260742</v>
      </c>
      <c r="E51" s="3">
        <v>186</v>
      </c>
      <c r="F51" s="24">
        <v>0.14455458890221975</v>
      </c>
      <c r="G51" s="22">
        <f t="shared" si="0"/>
        <v>17</v>
      </c>
      <c r="H51" s="22">
        <f t="shared" si="1"/>
        <v>203</v>
      </c>
    </row>
    <row r="52" spans="1:8" ht="15.75" customHeight="1" x14ac:dyDescent="0.4">
      <c r="A52" s="5">
        <v>4900</v>
      </c>
      <c r="B52" s="4">
        <v>-0.32</v>
      </c>
      <c r="C52" s="23">
        <v>5.621312141418457</v>
      </c>
      <c r="D52" s="23">
        <v>5.3013119697570801</v>
      </c>
      <c r="E52" s="3">
        <v>185</v>
      </c>
      <c r="F52" s="24">
        <v>0.14162863885055871</v>
      </c>
      <c r="G52" s="22">
        <f t="shared" si="0"/>
        <v>17.5</v>
      </c>
      <c r="H52" s="22">
        <f t="shared" si="1"/>
        <v>202.5</v>
      </c>
    </row>
    <row r="53" spans="1:8" ht="15.75" customHeight="1" x14ac:dyDescent="0.4">
      <c r="A53" s="5">
        <v>5000</v>
      </c>
      <c r="B53" s="4">
        <v>-0.4</v>
      </c>
      <c r="C53" s="23">
        <v>5.7073473930358887</v>
      </c>
      <c r="D53" s="23">
        <v>5.307347297668457</v>
      </c>
      <c r="E53" s="3">
        <v>184</v>
      </c>
      <c r="F53" s="24">
        <v>0.13843827267171624</v>
      </c>
      <c r="G53" s="22">
        <f t="shared" si="0"/>
        <v>18</v>
      </c>
      <c r="H53" s="22">
        <f t="shared" si="1"/>
        <v>202</v>
      </c>
    </row>
    <row r="54" spans="1:8" ht="15.75" customHeight="1" x14ac:dyDescent="0.4">
      <c r="A54" s="5">
        <v>5100</v>
      </c>
      <c r="B54" s="4">
        <v>-0.35</v>
      </c>
      <c r="C54" s="23">
        <v>5.6607146263122559</v>
      </c>
      <c r="D54" s="23">
        <v>5.3107147216796875</v>
      </c>
      <c r="E54" s="3">
        <v>183</v>
      </c>
      <c r="F54" s="24">
        <v>0.1401524653532514</v>
      </c>
      <c r="G54" s="22">
        <f t="shared" si="0"/>
        <v>18.5</v>
      </c>
      <c r="H54" s="22">
        <f t="shared" si="1"/>
        <v>201.5</v>
      </c>
    </row>
    <row r="55" spans="1:8" ht="15.75" customHeight="1" x14ac:dyDescent="0.4">
      <c r="A55" s="5">
        <v>5200</v>
      </c>
      <c r="B55" s="4">
        <v>-0.31</v>
      </c>
      <c r="C55" s="23">
        <v>5.6243672370910645</v>
      </c>
      <c r="D55" s="23">
        <v>5.3143672943115234</v>
      </c>
      <c r="E55" s="3">
        <v>182</v>
      </c>
      <c r="F55" s="24">
        <v>0.14151325779698262</v>
      </c>
      <c r="G55" s="22">
        <f t="shared" si="0"/>
        <v>19</v>
      </c>
      <c r="H55" s="22">
        <f t="shared" si="1"/>
        <v>201</v>
      </c>
    </row>
    <row r="56" spans="1:8" ht="15.75" customHeight="1" x14ac:dyDescent="0.4">
      <c r="A56" s="5">
        <v>5300</v>
      </c>
      <c r="B56" s="4">
        <v>-0.25</v>
      </c>
      <c r="C56" s="23">
        <v>5.567720890045166</v>
      </c>
      <c r="D56" s="23">
        <v>5.317720890045166</v>
      </c>
      <c r="E56" s="3">
        <v>181</v>
      </c>
      <c r="F56" s="24">
        <v>0.14367838896586721</v>
      </c>
      <c r="G56" s="22">
        <f t="shared" si="0"/>
        <v>19.5</v>
      </c>
      <c r="H56" s="22">
        <f t="shared" si="1"/>
        <v>200.5</v>
      </c>
    </row>
    <row r="57" spans="1:8" ht="15.75" customHeight="1" x14ac:dyDescent="0.4">
      <c r="A57" s="5">
        <v>5400</v>
      </c>
      <c r="B57" s="4">
        <v>-0.15</v>
      </c>
      <c r="C57" s="23">
        <v>5.4704108238220215</v>
      </c>
      <c r="D57" s="23">
        <v>5.3204107284545898</v>
      </c>
      <c r="E57" s="3">
        <v>180</v>
      </c>
      <c r="F57" s="24">
        <v>0.14752910900056107</v>
      </c>
      <c r="G57" s="22">
        <f t="shared" si="0"/>
        <v>20</v>
      </c>
      <c r="H57" s="22">
        <f t="shared" si="1"/>
        <v>200</v>
      </c>
    </row>
    <row r="58" spans="1:8" ht="15.75" customHeight="1" x14ac:dyDescent="0.4">
      <c r="A58" s="5">
        <v>5500</v>
      </c>
      <c r="B58" s="4">
        <v>-0.05</v>
      </c>
      <c r="C58" s="23">
        <v>5.3732819557189941</v>
      </c>
      <c r="D58" s="23">
        <v>5.3232817649841309</v>
      </c>
      <c r="E58" s="3">
        <v>179</v>
      </c>
      <c r="F58" s="24">
        <v>0.1515472947924594</v>
      </c>
      <c r="G58" s="22">
        <f t="shared" si="0"/>
        <v>20.5</v>
      </c>
      <c r="H58" s="22">
        <f t="shared" si="1"/>
        <v>199.5</v>
      </c>
    </row>
    <row r="59" spans="1:8" ht="15.75" customHeight="1" x14ac:dyDescent="0.4">
      <c r="A59" s="5">
        <v>5600</v>
      </c>
      <c r="B59" s="4">
        <v>0</v>
      </c>
      <c r="C59" s="23">
        <v>5.3274426460266113</v>
      </c>
      <c r="D59" s="23">
        <v>5.3274426460266113</v>
      </c>
      <c r="E59" s="3">
        <v>178</v>
      </c>
      <c r="F59" s="24">
        <v>0.15350745065364307</v>
      </c>
      <c r="G59" s="22">
        <f t="shared" si="0"/>
        <v>21</v>
      </c>
      <c r="H59" s="22">
        <f t="shared" si="1"/>
        <v>199</v>
      </c>
    </row>
    <row r="60" spans="1:8" ht="15.75" customHeight="1" x14ac:dyDescent="0.4">
      <c r="A60" s="5">
        <v>5700</v>
      </c>
      <c r="B60" s="4">
        <v>0.05</v>
      </c>
      <c r="C60" s="23">
        <v>5.2817301750183105</v>
      </c>
      <c r="D60" s="23">
        <v>5.3317303657531738</v>
      </c>
      <c r="E60" s="3">
        <v>177</v>
      </c>
      <c r="F60" s="24">
        <v>0.15550462752588218</v>
      </c>
      <c r="G60" s="22">
        <f t="shared" si="0"/>
        <v>21.5</v>
      </c>
      <c r="H60" s="22">
        <f t="shared" si="1"/>
        <v>198.5</v>
      </c>
    </row>
    <row r="61" spans="1:8" ht="15.75" customHeight="1" x14ac:dyDescent="0.4">
      <c r="A61" s="5">
        <v>5800</v>
      </c>
      <c r="B61" s="4">
        <v>0.03</v>
      </c>
      <c r="C61" s="23">
        <v>5.3077578544616699</v>
      </c>
      <c r="D61" s="23">
        <v>5.3377580642700195</v>
      </c>
      <c r="E61" s="3">
        <v>176</v>
      </c>
      <c r="F61" s="24">
        <v>0.15436220765637995</v>
      </c>
      <c r="G61" s="22">
        <f t="shared" si="0"/>
        <v>22</v>
      </c>
      <c r="H61" s="22">
        <f t="shared" si="1"/>
        <v>198</v>
      </c>
    </row>
    <row r="62" spans="1:8" ht="15.75" customHeight="1" x14ac:dyDescent="0.4">
      <c r="A62" s="5">
        <v>5900</v>
      </c>
      <c r="B62" s="4">
        <v>7.0000000000000007E-2</v>
      </c>
      <c r="C62" s="23">
        <v>5.2723278999328613</v>
      </c>
      <c r="D62" s="23">
        <v>5.3423280715942383</v>
      </c>
      <c r="E62" s="3">
        <v>175</v>
      </c>
      <c r="F62" s="24">
        <v>0.1559207859006834</v>
      </c>
      <c r="G62" s="22">
        <f t="shared" si="0"/>
        <v>22.5</v>
      </c>
      <c r="H62" s="22">
        <f t="shared" si="1"/>
        <v>197.5</v>
      </c>
    </row>
    <row r="63" spans="1:8" ht="15.75" customHeight="1" x14ac:dyDescent="0.4">
      <c r="A63" s="5">
        <v>6000</v>
      </c>
      <c r="B63" s="4">
        <v>0.1</v>
      </c>
      <c r="C63" s="23">
        <v>5.2472367286682129</v>
      </c>
      <c r="D63" s="23">
        <v>5.3472366333007813</v>
      </c>
      <c r="E63" s="3">
        <v>174</v>
      </c>
      <c r="F63" s="24">
        <v>0.15704049189852212</v>
      </c>
      <c r="G63" s="22">
        <f t="shared" si="0"/>
        <v>23</v>
      </c>
      <c r="H63" s="22">
        <f t="shared" si="1"/>
        <v>197</v>
      </c>
    </row>
    <row r="64" spans="1:8" ht="15.75" customHeight="1" x14ac:dyDescent="0.4">
      <c r="A64" s="5">
        <v>6100</v>
      </c>
      <c r="B64" s="4">
        <v>0.2</v>
      </c>
      <c r="C64" s="23">
        <v>5.1505870819091797</v>
      </c>
      <c r="D64" s="23">
        <v>5.3505868911743164</v>
      </c>
      <c r="E64" s="3">
        <v>173</v>
      </c>
      <c r="F64" s="24">
        <v>0.16148140976817735</v>
      </c>
      <c r="G64" s="22">
        <f t="shared" si="0"/>
        <v>23.5</v>
      </c>
      <c r="H64" s="22">
        <f t="shared" si="1"/>
        <v>196.5</v>
      </c>
    </row>
    <row r="65" spans="1:8" ht="15.75" customHeight="1" x14ac:dyDescent="0.4">
      <c r="A65" s="5">
        <v>6200</v>
      </c>
      <c r="B65" s="4">
        <v>0.3</v>
      </c>
      <c r="C65" s="23">
        <v>5.0541763305664063</v>
      </c>
      <c r="D65" s="23">
        <v>5.3541765213012695</v>
      </c>
      <c r="E65" s="3">
        <v>172</v>
      </c>
      <c r="F65" s="24">
        <v>0.16612387362789874</v>
      </c>
      <c r="G65" s="22">
        <f t="shared" si="0"/>
        <v>24</v>
      </c>
      <c r="H65" s="22">
        <f t="shared" si="1"/>
        <v>196</v>
      </c>
    </row>
    <row r="66" spans="1:8" ht="15.75" customHeight="1" x14ac:dyDescent="0.4">
      <c r="A66" s="5">
        <v>6300</v>
      </c>
      <c r="B66" s="4">
        <v>0.4</v>
      </c>
      <c r="C66" s="23">
        <v>4.9580264091491699</v>
      </c>
      <c r="D66" s="23">
        <v>5.3580265045166016</v>
      </c>
      <c r="E66" s="3">
        <v>171</v>
      </c>
      <c r="F66" s="24">
        <v>0.17097963280122649</v>
      </c>
      <c r="G66" s="22">
        <f t="shared" si="0"/>
        <v>24.5</v>
      </c>
      <c r="H66" s="22">
        <f t="shared" si="1"/>
        <v>195.5</v>
      </c>
    </row>
    <row r="67" spans="1:8" ht="15.75" customHeight="1" x14ac:dyDescent="0.4">
      <c r="A67" s="5">
        <v>6400</v>
      </c>
      <c r="B67" s="4">
        <v>0.5</v>
      </c>
      <c r="C67" s="23">
        <v>4.8621611595153809</v>
      </c>
      <c r="D67" s="23">
        <v>5.3621611595153809</v>
      </c>
      <c r="E67" s="3">
        <v>170</v>
      </c>
      <c r="F67" s="24">
        <v>0.17606118032098669</v>
      </c>
      <c r="G67" s="22">
        <f t="shared" si="0"/>
        <v>25</v>
      </c>
      <c r="H67" s="22">
        <f t="shared" si="1"/>
        <v>195</v>
      </c>
    </row>
    <row r="68" spans="1:8" ht="15.75" customHeight="1" x14ac:dyDescent="0.4">
      <c r="A68" s="5">
        <v>6500</v>
      </c>
      <c r="B68" s="4">
        <v>0.6</v>
      </c>
      <c r="C68" s="23">
        <v>4.7666068077087402</v>
      </c>
      <c r="D68" s="23">
        <v>5.3666067123413086</v>
      </c>
      <c r="E68" s="3">
        <v>169</v>
      </c>
      <c r="F68" s="24">
        <v>0.18138177194222938</v>
      </c>
      <c r="G68" s="22">
        <f t="shared" ref="G68:G131" si="2">(220-E68)/2</f>
        <v>25.5</v>
      </c>
      <c r="H68" s="22">
        <f t="shared" ref="H68:H131" si="3">-G68+220</f>
        <v>194.5</v>
      </c>
    </row>
    <row r="69" spans="1:8" ht="15.75" customHeight="1" x14ac:dyDescent="0.4">
      <c r="A69" s="5">
        <v>6600</v>
      </c>
      <c r="B69" s="4">
        <v>0.8</v>
      </c>
      <c r="C69" s="23">
        <v>4.5682764053344727</v>
      </c>
      <c r="D69" s="23">
        <v>5.3682765960693359</v>
      </c>
      <c r="E69" s="3">
        <v>168</v>
      </c>
      <c r="F69" s="24">
        <v>0.1933210182010533</v>
      </c>
      <c r="G69" s="22">
        <f t="shared" si="2"/>
        <v>26</v>
      </c>
      <c r="H69" s="22">
        <f t="shared" si="3"/>
        <v>194</v>
      </c>
    </row>
    <row r="70" spans="1:8" ht="15.75" customHeight="1" x14ac:dyDescent="0.4">
      <c r="A70" s="5">
        <v>6700</v>
      </c>
      <c r="B70" s="4">
        <v>1</v>
      </c>
      <c r="C70" s="23">
        <v>4.3703455924987793</v>
      </c>
      <c r="D70" s="23">
        <v>5.3703455924987793</v>
      </c>
      <c r="E70" s="3">
        <v>167</v>
      </c>
      <c r="F70" s="24">
        <v>0.20660173403355311</v>
      </c>
      <c r="G70" s="22">
        <f t="shared" si="2"/>
        <v>26.5</v>
      </c>
      <c r="H70" s="22">
        <f t="shared" si="3"/>
        <v>193.5</v>
      </c>
    </row>
    <row r="71" spans="1:8" ht="15.75" customHeight="1" x14ac:dyDescent="0.4">
      <c r="A71" s="5">
        <v>6800</v>
      </c>
      <c r="B71" s="4">
        <v>1.2</v>
      </c>
      <c r="C71" s="23">
        <v>4.1729230880737305</v>
      </c>
      <c r="D71" s="23">
        <v>5.3729228973388672</v>
      </c>
      <c r="E71" s="3">
        <v>166</v>
      </c>
      <c r="F71" s="24">
        <v>0.2214354062579337</v>
      </c>
      <c r="G71" s="22">
        <f t="shared" si="2"/>
        <v>27</v>
      </c>
      <c r="H71" s="22">
        <f t="shared" si="3"/>
        <v>193</v>
      </c>
    </row>
    <row r="72" spans="1:8" ht="15.75" customHeight="1" x14ac:dyDescent="0.4">
      <c r="A72" s="5">
        <v>6900</v>
      </c>
      <c r="B72" s="4">
        <v>1.3</v>
      </c>
      <c r="C72" s="23">
        <v>4.0807838439941406</v>
      </c>
      <c r="D72" s="23">
        <v>5.3807840347290039</v>
      </c>
      <c r="E72" s="3">
        <v>165</v>
      </c>
      <c r="F72" s="24">
        <v>0.22897720345250369</v>
      </c>
      <c r="G72" s="22">
        <f t="shared" si="2"/>
        <v>27.5</v>
      </c>
      <c r="H72" s="22">
        <f t="shared" si="3"/>
        <v>192.5</v>
      </c>
    </row>
    <row r="73" spans="1:8" ht="15.75" customHeight="1" x14ac:dyDescent="0.4">
      <c r="A73" s="5">
        <v>7000</v>
      </c>
      <c r="B73" s="4">
        <v>1.4</v>
      </c>
      <c r="C73" s="23">
        <v>3.9893307685852051</v>
      </c>
      <c r="D73" s="23">
        <v>5.3893308639526367</v>
      </c>
      <c r="E73" s="3">
        <v>164</v>
      </c>
      <c r="F73" s="24">
        <v>0.23689591056867326</v>
      </c>
      <c r="G73" s="22">
        <f t="shared" si="2"/>
        <v>28</v>
      </c>
      <c r="H73" s="22">
        <f t="shared" si="3"/>
        <v>192</v>
      </c>
    </row>
    <row r="74" spans="1:8" ht="15.75" customHeight="1" x14ac:dyDescent="0.4">
      <c r="A74" s="5">
        <v>7100</v>
      </c>
      <c r="B74" s="4">
        <v>1.5</v>
      </c>
      <c r="C74" s="23">
        <v>3.8986372947692871</v>
      </c>
      <c r="D74" s="23">
        <v>5.3986372947692871</v>
      </c>
      <c r="E74" s="3">
        <v>163</v>
      </c>
      <c r="F74" s="24">
        <v>0.24521011678304164</v>
      </c>
      <c r="G74" s="22">
        <f t="shared" si="2"/>
        <v>28.5</v>
      </c>
      <c r="H74" s="22">
        <f t="shared" si="3"/>
        <v>191.5</v>
      </c>
    </row>
    <row r="75" spans="1:8" ht="15.75" customHeight="1" x14ac:dyDescent="0.4">
      <c r="A75" s="5">
        <v>7200</v>
      </c>
      <c r="B75" s="4">
        <v>1.6</v>
      </c>
      <c r="C75" s="23">
        <v>3.8087859153747559</v>
      </c>
      <c r="D75" s="23">
        <v>5.4087858200073242</v>
      </c>
      <c r="E75" s="3">
        <v>162</v>
      </c>
      <c r="F75" s="24">
        <v>0.25393805562380334</v>
      </c>
      <c r="G75" s="22">
        <f t="shared" si="2"/>
        <v>29</v>
      </c>
      <c r="H75" s="22">
        <f t="shared" si="3"/>
        <v>191</v>
      </c>
    </row>
    <row r="76" spans="1:8" ht="15.75" customHeight="1" x14ac:dyDescent="0.4">
      <c r="A76" s="5">
        <v>7300</v>
      </c>
      <c r="B76" s="4">
        <v>1.7</v>
      </c>
      <c r="C76" s="23">
        <v>3.7198679447174072</v>
      </c>
      <c r="D76" s="23">
        <v>5.419867992401123</v>
      </c>
      <c r="E76" s="3">
        <v>161</v>
      </c>
      <c r="F76" s="24">
        <v>0.26309727477439693</v>
      </c>
      <c r="G76" s="22">
        <f t="shared" si="2"/>
        <v>29.5</v>
      </c>
      <c r="H76" s="22">
        <f t="shared" si="3"/>
        <v>190.5</v>
      </c>
    </row>
    <row r="77" spans="1:8" ht="15.75" customHeight="1" x14ac:dyDescent="0.4">
      <c r="A77" s="5">
        <v>7400</v>
      </c>
      <c r="B77" s="4">
        <v>1.8</v>
      </c>
      <c r="C77" s="23">
        <v>3.6319866180419922</v>
      </c>
      <c r="D77" s="23">
        <v>5.4319868087768555</v>
      </c>
      <c r="E77" s="3">
        <v>160</v>
      </c>
      <c r="F77" s="24">
        <v>0.27270385300031486</v>
      </c>
      <c r="G77" s="22">
        <f t="shared" si="2"/>
        <v>30</v>
      </c>
      <c r="H77" s="22">
        <f t="shared" si="3"/>
        <v>190</v>
      </c>
    </row>
    <row r="78" spans="1:8" ht="15.75" customHeight="1" x14ac:dyDescent="0.4">
      <c r="A78" s="5">
        <v>7500</v>
      </c>
      <c r="B78" s="4">
        <v>1.9</v>
      </c>
      <c r="C78" s="23">
        <v>3.5452566146850586</v>
      </c>
      <c r="D78" s="23">
        <v>5.4452567100524902</v>
      </c>
      <c r="E78" s="3">
        <v>160</v>
      </c>
      <c r="F78" s="24">
        <v>0.28277181515287664</v>
      </c>
      <c r="G78" s="22">
        <f t="shared" si="2"/>
        <v>30</v>
      </c>
      <c r="H78" s="22">
        <f t="shared" si="3"/>
        <v>190</v>
      </c>
    </row>
    <row r="79" spans="1:8" ht="15.75" customHeight="1" x14ac:dyDescent="0.4">
      <c r="A79" s="5">
        <v>7600</v>
      </c>
      <c r="B79" s="4">
        <v>2</v>
      </c>
      <c r="C79" s="23">
        <v>3.459805965423584</v>
      </c>
      <c r="D79" s="23">
        <v>5.459805965423584</v>
      </c>
      <c r="E79" s="3">
        <v>160</v>
      </c>
      <c r="F79" s="24">
        <v>0.29331212675328583</v>
      </c>
      <c r="G79" s="22">
        <f t="shared" si="2"/>
        <v>30</v>
      </c>
      <c r="H79" s="22">
        <f t="shared" si="3"/>
        <v>190</v>
      </c>
    </row>
    <row r="80" spans="1:8" ht="15.75" customHeight="1" x14ac:dyDescent="0.4">
      <c r="A80" s="5">
        <v>7700</v>
      </c>
      <c r="B80" s="4">
        <v>2.1</v>
      </c>
      <c r="C80" s="23">
        <v>3.3757774829864502</v>
      </c>
      <c r="D80" s="23">
        <v>5.4757776260375977</v>
      </c>
      <c r="E80" s="3">
        <v>160</v>
      </c>
      <c r="F80" s="24">
        <v>0.30433150631278544</v>
      </c>
      <c r="G80" s="22">
        <f t="shared" si="2"/>
        <v>30</v>
      </c>
      <c r="H80" s="22">
        <f t="shared" si="3"/>
        <v>190</v>
      </c>
    </row>
    <row r="81" spans="1:8" ht="15.75" customHeight="1" x14ac:dyDescent="0.4">
      <c r="A81" s="5">
        <v>7800</v>
      </c>
      <c r="B81" s="4">
        <v>2</v>
      </c>
      <c r="C81" s="23">
        <v>3.5108778476715088</v>
      </c>
      <c r="D81" s="23">
        <v>5.5108776092529297</v>
      </c>
      <c r="E81" s="3">
        <v>160</v>
      </c>
      <c r="F81" s="24">
        <v>0.28693534893570111</v>
      </c>
      <c r="G81" s="22">
        <f t="shared" si="2"/>
        <v>30</v>
      </c>
      <c r="H81" s="22">
        <f t="shared" si="3"/>
        <v>190</v>
      </c>
    </row>
    <row r="82" spans="1:8" ht="15.75" customHeight="1" x14ac:dyDescent="0.4">
      <c r="A82" s="5">
        <v>7900</v>
      </c>
      <c r="B82" s="4">
        <v>2.1</v>
      </c>
      <c r="C82" s="23">
        <v>3.4259788990020752</v>
      </c>
      <c r="D82" s="23">
        <v>5.5259790420532227</v>
      </c>
      <c r="E82" s="3">
        <v>160</v>
      </c>
      <c r="F82" s="24">
        <v>0.29766694344436534</v>
      </c>
      <c r="G82" s="22">
        <f t="shared" si="2"/>
        <v>30</v>
      </c>
      <c r="H82" s="22">
        <f t="shared" si="3"/>
        <v>190</v>
      </c>
    </row>
    <row r="83" spans="1:8" ht="15.75" customHeight="1" x14ac:dyDescent="0.4">
      <c r="A83" s="5">
        <v>8000</v>
      </c>
      <c r="B83" s="4">
        <v>2.1</v>
      </c>
      <c r="C83" s="23">
        <v>3.4509518146514893</v>
      </c>
      <c r="D83" s="23">
        <v>5.5509519577026367</v>
      </c>
      <c r="E83" s="3">
        <v>160</v>
      </c>
      <c r="F83" s="24">
        <v>0.2944416824655397</v>
      </c>
      <c r="G83" s="22">
        <f t="shared" si="2"/>
        <v>30</v>
      </c>
      <c r="H83" s="22">
        <f t="shared" si="3"/>
        <v>190</v>
      </c>
    </row>
    <row r="84" spans="1:8" ht="15.75" customHeight="1" x14ac:dyDescent="0.4">
      <c r="A84" s="5">
        <v>8100</v>
      </c>
      <c r="B84" s="4">
        <v>2.2000000000000002</v>
      </c>
      <c r="C84" s="23">
        <v>3.3670804500579834</v>
      </c>
      <c r="D84" s="23">
        <v>5.5670804977416992</v>
      </c>
      <c r="E84" s="3">
        <v>160</v>
      </c>
      <c r="F84" s="24">
        <v>0.3055113813861664</v>
      </c>
      <c r="G84" s="22">
        <f t="shared" si="2"/>
        <v>30</v>
      </c>
      <c r="H84" s="22">
        <f t="shared" si="3"/>
        <v>190</v>
      </c>
    </row>
    <row r="85" spans="1:8" ht="15.75" customHeight="1" x14ac:dyDescent="0.4">
      <c r="A85" s="5">
        <v>8200</v>
      </c>
      <c r="B85" s="4">
        <v>2.2999999999999998</v>
      </c>
      <c r="C85" s="23">
        <v>3.2848067283630371</v>
      </c>
      <c r="D85" s="23">
        <v>5.5848064422607422</v>
      </c>
      <c r="E85" s="3">
        <v>160</v>
      </c>
      <c r="F85" s="24">
        <v>0.31706105562336823</v>
      </c>
      <c r="G85" s="22">
        <f t="shared" si="2"/>
        <v>30</v>
      </c>
      <c r="H85" s="22">
        <f t="shared" si="3"/>
        <v>190</v>
      </c>
    </row>
    <row r="86" spans="1:8" ht="15.75" customHeight="1" x14ac:dyDescent="0.4">
      <c r="A86" s="5">
        <v>8300</v>
      </c>
      <c r="B86" s="4">
        <v>2.4</v>
      </c>
      <c r="C86" s="23">
        <v>3.2043063640594482</v>
      </c>
      <c r="D86" s="23">
        <v>5.6043062210083008</v>
      </c>
      <c r="E86" s="3">
        <v>160</v>
      </c>
      <c r="F86" s="24">
        <v>0.32908386181637733</v>
      </c>
      <c r="G86" s="22">
        <f t="shared" si="2"/>
        <v>30</v>
      </c>
      <c r="H86" s="22">
        <f t="shared" si="3"/>
        <v>190</v>
      </c>
    </row>
    <row r="87" spans="1:8" ht="15.75" customHeight="1" x14ac:dyDescent="0.4">
      <c r="A87" s="5">
        <v>8400</v>
      </c>
      <c r="B87" s="4">
        <v>2.5</v>
      </c>
      <c r="C87" s="23">
        <v>3.1257731914520264</v>
      </c>
      <c r="D87" s="23">
        <v>5.6257734298706055</v>
      </c>
      <c r="E87" s="3">
        <v>160</v>
      </c>
      <c r="F87" s="24">
        <v>0.3415634885161476</v>
      </c>
      <c r="G87" s="22">
        <f t="shared" si="2"/>
        <v>30</v>
      </c>
      <c r="H87" s="22">
        <f t="shared" si="3"/>
        <v>190</v>
      </c>
    </row>
    <row r="88" spans="1:8" ht="15.75" customHeight="1" x14ac:dyDescent="0.4">
      <c r="A88" s="5">
        <v>8500</v>
      </c>
      <c r="B88" s="4">
        <v>2.6</v>
      </c>
      <c r="C88" s="23">
        <v>3.0494167804718018</v>
      </c>
      <c r="D88" s="23">
        <v>5.6494169235229492</v>
      </c>
      <c r="E88" s="3">
        <v>160</v>
      </c>
      <c r="F88" s="24">
        <v>0.35447242382397148</v>
      </c>
      <c r="G88" s="22">
        <f t="shared" si="2"/>
        <v>30</v>
      </c>
      <c r="H88" s="22">
        <f t="shared" si="3"/>
        <v>190</v>
      </c>
    </row>
    <row r="89" spans="1:8" ht="15.75" customHeight="1" x14ac:dyDescent="0.4">
      <c r="A89" s="5">
        <v>8600</v>
      </c>
      <c r="B89" s="4">
        <v>2.7</v>
      </c>
      <c r="C89" s="23">
        <v>2.9754633903503418</v>
      </c>
      <c r="D89" s="23">
        <v>5.6754636764526367</v>
      </c>
      <c r="E89" s="3">
        <v>161</v>
      </c>
      <c r="F89" s="24">
        <v>0.36776950644218764</v>
      </c>
      <c r="G89" s="22">
        <f t="shared" si="2"/>
        <v>29.5</v>
      </c>
      <c r="H89" s="22">
        <f t="shared" si="3"/>
        <v>190.5</v>
      </c>
    </row>
    <row r="90" spans="1:8" ht="15.75" customHeight="1" x14ac:dyDescent="0.4">
      <c r="A90" s="5">
        <v>8700</v>
      </c>
      <c r="B90" s="4">
        <v>2.8</v>
      </c>
      <c r="C90" s="23">
        <v>2.90415358543396</v>
      </c>
      <c r="D90" s="23">
        <v>5.7041535377502441</v>
      </c>
      <c r="E90" s="3">
        <v>162</v>
      </c>
      <c r="F90" s="24">
        <v>0.38139787004314929</v>
      </c>
      <c r="G90" s="22">
        <f t="shared" si="2"/>
        <v>29</v>
      </c>
      <c r="H90" s="22">
        <f t="shared" si="3"/>
        <v>191</v>
      </c>
    </row>
    <row r="91" spans="1:8" ht="15.75" customHeight="1" x14ac:dyDescent="0.4">
      <c r="A91" s="5">
        <v>8800</v>
      </c>
      <c r="B91" s="4">
        <v>2.9</v>
      </c>
      <c r="C91" s="23">
        <v>2.835737943649292</v>
      </c>
      <c r="D91" s="23">
        <v>5.7357378005981445</v>
      </c>
      <c r="E91" s="3">
        <v>163</v>
      </c>
      <c r="F91" s="24">
        <v>0.39528332327763943</v>
      </c>
      <c r="G91" s="22">
        <f t="shared" si="2"/>
        <v>28.5</v>
      </c>
      <c r="H91" s="22">
        <f t="shared" si="3"/>
        <v>191.5</v>
      </c>
    </row>
    <row r="92" spans="1:8" ht="15.75" customHeight="1" x14ac:dyDescent="0.4">
      <c r="A92" s="5">
        <v>8900</v>
      </c>
      <c r="B92" s="4">
        <v>2.8</v>
      </c>
      <c r="C92" s="23">
        <v>2.9987661838531494</v>
      </c>
      <c r="D92" s="23">
        <v>5.7987661361694336</v>
      </c>
      <c r="E92" s="3">
        <v>164</v>
      </c>
      <c r="F92" s="24">
        <v>0.36349105373247642</v>
      </c>
      <c r="G92" s="22">
        <f t="shared" si="2"/>
        <v>28</v>
      </c>
      <c r="H92" s="22">
        <f t="shared" si="3"/>
        <v>192</v>
      </c>
    </row>
    <row r="93" spans="1:8" ht="15.75" customHeight="1" x14ac:dyDescent="0.4">
      <c r="A93" s="5">
        <v>9000</v>
      </c>
      <c r="B93" s="4">
        <v>2.8</v>
      </c>
      <c r="C93" s="23">
        <v>3.0392200946807861</v>
      </c>
      <c r="D93" s="23">
        <v>5.8392200469970703</v>
      </c>
      <c r="E93" s="3">
        <v>165</v>
      </c>
      <c r="F93" s="24">
        <v>0.35625781963283842</v>
      </c>
      <c r="G93" s="22">
        <f t="shared" si="2"/>
        <v>27.5</v>
      </c>
      <c r="H93" s="22">
        <f t="shared" si="3"/>
        <v>192.5</v>
      </c>
    </row>
    <row r="94" spans="1:8" ht="15.75" customHeight="1" x14ac:dyDescent="0.4">
      <c r="A94" s="5">
        <v>9100</v>
      </c>
      <c r="B94" s="4">
        <v>2.8</v>
      </c>
      <c r="C94" s="23">
        <v>3.0777297019958496</v>
      </c>
      <c r="D94" s="23">
        <v>5.8777294158935547</v>
      </c>
      <c r="E94" s="3">
        <v>166</v>
      </c>
      <c r="F94" s="24">
        <v>0.3495923495395275</v>
      </c>
      <c r="G94" s="22">
        <f t="shared" si="2"/>
        <v>27</v>
      </c>
      <c r="H94" s="22">
        <f t="shared" si="3"/>
        <v>193</v>
      </c>
    </row>
    <row r="95" spans="1:8" ht="15.75" customHeight="1" x14ac:dyDescent="0.4">
      <c r="A95" s="5">
        <v>9200</v>
      </c>
      <c r="B95" s="4">
        <v>2.8</v>
      </c>
      <c r="C95" s="23">
        <v>3.1145038604736328</v>
      </c>
      <c r="D95" s="23">
        <v>5.9145040512084961</v>
      </c>
      <c r="E95" s="3">
        <v>167</v>
      </c>
      <c r="F95" s="24">
        <v>0.34341900322971658</v>
      </c>
      <c r="G95" s="22">
        <f t="shared" si="2"/>
        <v>26.5</v>
      </c>
      <c r="H95" s="22">
        <f t="shared" si="3"/>
        <v>193.5</v>
      </c>
    </row>
    <row r="96" spans="1:8" ht="15.75" customHeight="1" x14ac:dyDescent="0.4">
      <c r="A96" s="5">
        <v>9300</v>
      </c>
      <c r="B96" s="4">
        <v>2.9</v>
      </c>
      <c r="C96" s="23">
        <v>3.0384831428527832</v>
      </c>
      <c r="D96" s="23">
        <v>5.9384832382202148</v>
      </c>
      <c r="E96" s="3">
        <v>168</v>
      </c>
      <c r="F96" s="24">
        <v>0.3563874373192617</v>
      </c>
      <c r="G96" s="22">
        <f t="shared" si="2"/>
        <v>26</v>
      </c>
      <c r="H96" s="22">
        <f t="shared" si="3"/>
        <v>194</v>
      </c>
    </row>
    <row r="97" spans="1:8" ht="15.75" customHeight="1" x14ac:dyDescent="0.4">
      <c r="A97" s="5">
        <v>9400</v>
      </c>
      <c r="B97" s="4">
        <v>3</v>
      </c>
      <c r="C97" s="23">
        <v>2.964900016784668</v>
      </c>
      <c r="D97" s="23">
        <v>5.964900016784668</v>
      </c>
      <c r="E97" s="3">
        <v>169</v>
      </c>
      <c r="F97" s="24">
        <v>0.36973669499135897</v>
      </c>
      <c r="G97" s="22">
        <f t="shared" si="2"/>
        <v>25.5</v>
      </c>
      <c r="H97" s="22">
        <f t="shared" si="3"/>
        <v>194.5</v>
      </c>
    </row>
    <row r="98" spans="1:8" ht="15.75" customHeight="1" x14ac:dyDescent="0.4">
      <c r="A98" s="5">
        <v>9500</v>
      </c>
      <c r="B98" s="4">
        <v>2.9</v>
      </c>
      <c r="C98" s="23">
        <v>3.1188158988952637</v>
      </c>
      <c r="D98" s="23">
        <v>6.0188159942626953</v>
      </c>
      <c r="E98" s="3">
        <v>170</v>
      </c>
      <c r="F98" s="24">
        <v>0.3427070388079565</v>
      </c>
      <c r="G98" s="22">
        <f t="shared" si="2"/>
        <v>25</v>
      </c>
      <c r="H98" s="22">
        <f t="shared" si="3"/>
        <v>195</v>
      </c>
    </row>
    <row r="99" spans="1:8" ht="15.75" customHeight="1" x14ac:dyDescent="0.4">
      <c r="A99" s="5">
        <v>9600</v>
      </c>
      <c r="B99" s="4">
        <v>2.8</v>
      </c>
      <c r="C99" s="23">
        <v>3.2650387287139893</v>
      </c>
      <c r="D99" s="23">
        <v>6.0650386810302734</v>
      </c>
      <c r="E99" s="3">
        <v>171</v>
      </c>
      <c r="F99" s="24">
        <v>0.31994485300496722</v>
      </c>
      <c r="G99" s="22">
        <f t="shared" si="2"/>
        <v>24.5</v>
      </c>
      <c r="H99" s="22">
        <f t="shared" si="3"/>
        <v>195.5</v>
      </c>
    </row>
    <row r="100" spans="1:8" ht="15.75" customHeight="1" x14ac:dyDescent="0.4">
      <c r="A100" s="5">
        <v>9700</v>
      </c>
      <c r="B100" s="4">
        <v>2.7</v>
      </c>
      <c r="C100" s="23">
        <v>3.4044313430786133</v>
      </c>
      <c r="D100" s="23">
        <v>6.10443115234375</v>
      </c>
      <c r="E100" s="3">
        <v>172</v>
      </c>
      <c r="F100" s="24">
        <v>0.30049743086860975</v>
      </c>
      <c r="G100" s="22">
        <f t="shared" si="2"/>
        <v>24</v>
      </c>
      <c r="H100" s="22">
        <f t="shared" si="3"/>
        <v>196</v>
      </c>
    </row>
    <row r="101" spans="1:8" ht="15.75" customHeight="1" x14ac:dyDescent="0.4">
      <c r="A101" s="5">
        <v>9800</v>
      </c>
      <c r="B101" s="4">
        <v>2.8</v>
      </c>
      <c r="C101" s="23">
        <v>3.3214218616485596</v>
      </c>
      <c r="D101" s="23">
        <v>6.1214218139648438</v>
      </c>
      <c r="E101" s="3">
        <v>173</v>
      </c>
      <c r="F101" s="24">
        <v>0.31183264167352248</v>
      </c>
      <c r="G101" s="22">
        <f t="shared" si="2"/>
        <v>23.5</v>
      </c>
      <c r="H101" s="22">
        <f t="shared" si="3"/>
        <v>196.5</v>
      </c>
    </row>
    <row r="102" spans="1:8" ht="15.75" customHeight="1" x14ac:dyDescent="0.4">
      <c r="A102" s="5">
        <v>9900</v>
      </c>
      <c r="B102" s="4">
        <v>2.8</v>
      </c>
      <c r="C102" s="23">
        <v>3.34932541847229</v>
      </c>
      <c r="D102" s="23">
        <v>6.1493253707885742</v>
      </c>
      <c r="E102" s="3">
        <v>174</v>
      </c>
      <c r="F102" s="24">
        <v>0.30794390702277186</v>
      </c>
      <c r="G102" s="22">
        <f t="shared" si="2"/>
        <v>23</v>
      </c>
      <c r="H102" s="22">
        <f t="shared" si="3"/>
        <v>197</v>
      </c>
    </row>
    <row r="103" spans="1:8" ht="15.75" customHeight="1" x14ac:dyDescent="0.4">
      <c r="A103" s="5">
        <v>10000</v>
      </c>
      <c r="B103" s="4">
        <v>2.8</v>
      </c>
      <c r="C103" s="23">
        <v>3.37640380859375</v>
      </c>
      <c r="D103" s="23">
        <v>6.1764039993286133</v>
      </c>
      <c r="E103" s="3">
        <v>175</v>
      </c>
      <c r="F103" s="24">
        <v>0.30424682963320049</v>
      </c>
      <c r="G103" s="22">
        <f t="shared" si="2"/>
        <v>22.5</v>
      </c>
      <c r="H103" s="22">
        <f t="shared" si="3"/>
        <v>197.5</v>
      </c>
    </row>
    <row r="104" spans="1:8" ht="15.75" customHeight="1" x14ac:dyDescent="0.4">
      <c r="A104" s="5">
        <v>10100</v>
      </c>
      <c r="B104" s="4">
        <v>3</v>
      </c>
      <c r="C104" s="23">
        <v>3.1837201118469238</v>
      </c>
      <c r="D104" s="23">
        <v>6.1837201118469238</v>
      </c>
      <c r="E104" s="3">
        <v>176</v>
      </c>
      <c r="F104" s="24">
        <v>0.33228084962404986</v>
      </c>
      <c r="G104" s="22">
        <f t="shared" si="2"/>
        <v>22</v>
      </c>
      <c r="H104" s="22">
        <f t="shared" si="3"/>
        <v>198</v>
      </c>
    </row>
    <row r="105" spans="1:8" ht="15.75" customHeight="1" x14ac:dyDescent="0.4">
      <c r="A105" s="5">
        <v>10200</v>
      </c>
      <c r="B105" s="4">
        <v>3.2</v>
      </c>
      <c r="C105" s="23">
        <v>2.993441104888916</v>
      </c>
      <c r="D105" s="23">
        <v>6.1934413909912109</v>
      </c>
      <c r="E105" s="3">
        <v>177</v>
      </c>
      <c r="F105" s="24">
        <v>0.36446141479847444</v>
      </c>
      <c r="G105" s="22">
        <f t="shared" si="2"/>
        <v>21.5</v>
      </c>
      <c r="H105" s="22">
        <f t="shared" si="3"/>
        <v>198.5</v>
      </c>
    </row>
    <row r="106" spans="1:8" ht="15.75" customHeight="1" x14ac:dyDescent="0.4">
      <c r="A106" s="5">
        <v>10300</v>
      </c>
      <c r="B106" s="4">
        <v>3.4</v>
      </c>
      <c r="C106" s="23">
        <v>2.8065407276153564</v>
      </c>
      <c r="D106" s="23">
        <v>6.2065410614013672</v>
      </c>
      <c r="E106" s="3">
        <v>178</v>
      </c>
      <c r="F106" s="24">
        <v>0.4014677002545855</v>
      </c>
      <c r="G106" s="22">
        <f t="shared" si="2"/>
        <v>21</v>
      </c>
      <c r="H106" s="22">
        <f t="shared" si="3"/>
        <v>199</v>
      </c>
    </row>
    <row r="107" spans="1:8" ht="15.75" customHeight="1" x14ac:dyDescent="0.4">
      <c r="A107" s="5">
        <v>10400</v>
      </c>
      <c r="B107" s="4">
        <v>3.6</v>
      </c>
      <c r="C107" s="23">
        <v>2.6244752407073975</v>
      </c>
      <c r="D107" s="23">
        <v>6.2244749069213867</v>
      </c>
      <c r="E107" s="3">
        <v>179</v>
      </c>
      <c r="F107" s="24">
        <v>0.44396007250816966</v>
      </c>
      <c r="G107" s="22">
        <f t="shared" si="2"/>
        <v>20.5</v>
      </c>
      <c r="H107" s="22">
        <f t="shared" si="3"/>
        <v>199.5</v>
      </c>
    </row>
    <row r="108" spans="1:8" ht="15.75" customHeight="1" x14ac:dyDescent="0.4">
      <c r="A108" s="5">
        <v>10500</v>
      </c>
      <c r="B108" s="4">
        <v>3.8</v>
      </c>
      <c r="C108" s="23">
        <v>2.4494516849517822</v>
      </c>
      <c r="D108" s="23">
        <v>6.2494516372680664</v>
      </c>
      <c r="E108" s="3">
        <v>180</v>
      </c>
      <c r="F108" s="24">
        <v>0.49238443683987748</v>
      </c>
      <c r="G108" s="22">
        <f t="shared" si="2"/>
        <v>20</v>
      </c>
      <c r="H108" s="22">
        <f t="shared" si="3"/>
        <v>200</v>
      </c>
    </row>
    <row r="109" spans="1:8" ht="15.75" customHeight="1" x14ac:dyDescent="0.4">
      <c r="A109" s="5">
        <v>10600</v>
      </c>
      <c r="B109" s="4">
        <v>4</v>
      </c>
      <c r="C109" s="23">
        <v>2.2848284244537354</v>
      </c>
      <c r="D109" s="23">
        <v>6.2848281860351563</v>
      </c>
      <c r="E109" s="3">
        <v>181</v>
      </c>
      <c r="F109" s="24">
        <v>0.54654665942037184</v>
      </c>
      <c r="G109" s="22">
        <f t="shared" si="2"/>
        <v>19.5</v>
      </c>
      <c r="H109" s="22">
        <f t="shared" si="3"/>
        <v>200.5</v>
      </c>
    </row>
    <row r="110" spans="1:8" ht="15.75" customHeight="1" x14ac:dyDescent="0.4">
      <c r="A110" s="5">
        <v>10700</v>
      </c>
      <c r="B110" s="4">
        <v>4.2</v>
      </c>
      <c r="C110" s="23">
        <v>2.135603666305542</v>
      </c>
      <c r="D110" s="23">
        <v>6.3356037139892578</v>
      </c>
      <c r="E110" s="3">
        <v>182</v>
      </c>
      <c r="F110" s="24">
        <v>0.60482070070909766</v>
      </c>
      <c r="G110" s="22">
        <f t="shared" si="2"/>
        <v>19</v>
      </c>
      <c r="H110" s="22">
        <f t="shared" si="3"/>
        <v>201</v>
      </c>
    </row>
    <row r="111" spans="1:8" ht="15.75" customHeight="1" x14ac:dyDescent="0.4">
      <c r="A111" s="5">
        <v>10800</v>
      </c>
      <c r="B111" s="4">
        <v>4.4000000000000004</v>
      </c>
      <c r="C111" s="23">
        <v>2.0086379051208496</v>
      </c>
      <c r="D111" s="23">
        <v>6.4086380004882813</v>
      </c>
      <c r="E111" s="3">
        <v>183</v>
      </c>
      <c r="F111" s="24">
        <v>0.66306354711116311</v>
      </c>
      <c r="G111" s="22">
        <f t="shared" si="2"/>
        <v>18.5</v>
      </c>
      <c r="H111" s="22">
        <f t="shared" si="3"/>
        <v>201.5</v>
      </c>
    </row>
    <row r="112" spans="1:8" ht="15.75" customHeight="1" x14ac:dyDescent="0.4">
      <c r="A112" s="5">
        <v>10900</v>
      </c>
      <c r="B112" s="4">
        <v>4.5999999999999996</v>
      </c>
      <c r="C112" s="23">
        <v>1.9114785194396973</v>
      </c>
      <c r="D112" s="23">
        <v>6.5114784240722656</v>
      </c>
      <c r="E112" s="3">
        <v>184</v>
      </c>
      <c r="F112" s="24">
        <v>0.7142553478279805</v>
      </c>
      <c r="G112" s="22">
        <f t="shared" si="2"/>
        <v>18</v>
      </c>
      <c r="H112" s="22">
        <f t="shared" si="3"/>
        <v>202</v>
      </c>
    </row>
    <row r="113" spans="1:8" ht="15.75" customHeight="1" x14ac:dyDescent="0.4">
      <c r="A113" s="5">
        <v>11000</v>
      </c>
      <c r="B113" s="4">
        <v>4.7</v>
      </c>
      <c r="C113" s="23">
        <v>2.0052764415740967</v>
      </c>
      <c r="D113" s="23">
        <v>6.7052764892578125</v>
      </c>
      <c r="E113" s="3">
        <v>185</v>
      </c>
      <c r="F113" s="24">
        <v>0.66473149500760098</v>
      </c>
      <c r="G113" s="22">
        <f t="shared" si="2"/>
        <v>17.5</v>
      </c>
      <c r="H113" s="22">
        <f t="shared" si="3"/>
        <v>202.5</v>
      </c>
    </row>
    <row r="114" spans="1:8" ht="15.75" customHeight="1" x14ac:dyDescent="0.4">
      <c r="A114" s="5">
        <v>11100</v>
      </c>
      <c r="B114" s="4">
        <v>4.7</v>
      </c>
      <c r="C114" s="23">
        <v>2.1991298198699951</v>
      </c>
      <c r="D114" s="23">
        <v>6.8991298675537109</v>
      </c>
      <c r="E114" s="3">
        <v>186</v>
      </c>
      <c r="F114" s="24">
        <v>0.57880374481295038</v>
      </c>
      <c r="G114" s="22">
        <f t="shared" si="2"/>
        <v>17</v>
      </c>
      <c r="H114" s="22">
        <f t="shared" si="3"/>
        <v>203</v>
      </c>
    </row>
    <row r="115" spans="1:8" ht="15.75" customHeight="1" x14ac:dyDescent="0.4">
      <c r="A115" s="5">
        <v>11200</v>
      </c>
      <c r="B115" s="4">
        <v>4.5999999999999996</v>
      </c>
      <c r="C115" s="23">
        <v>2.4579856395721436</v>
      </c>
      <c r="D115" s="23">
        <v>7.0579853057861328</v>
      </c>
      <c r="E115" s="3">
        <v>187</v>
      </c>
      <c r="F115" s="24">
        <v>0.48982237727696037</v>
      </c>
      <c r="G115" s="22">
        <f t="shared" si="2"/>
        <v>16.5</v>
      </c>
      <c r="H115" s="22">
        <f t="shared" si="3"/>
        <v>203.5</v>
      </c>
    </row>
    <row r="116" spans="1:8" ht="15.75" customHeight="1" x14ac:dyDescent="0.4">
      <c r="A116" s="5">
        <v>11300</v>
      </c>
      <c r="B116" s="4">
        <v>4.7</v>
      </c>
      <c r="C116" s="23">
        <v>2.4204418659210205</v>
      </c>
      <c r="D116" s="23">
        <v>7.1204414367675781</v>
      </c>
      <c r="E116" s="3">
        <v>188</v>
      </c>
      <c r="F116" s="24">
        <v>0.50126300035460181</v>
      </c>
      <c r="G116" s="22">
        <f t="shared" si="2"/>
        <v>16</v>
      </c>
      <c r="H116" s="22">
        <f t="shared" si="3"/>
        <v>204</v>
      </c>
    </row>
    <row r="117" spans="1:8" ht="15.75" customHeight="1" x14ac:dyDescent="0.4">
      <c r="A117" s="5">
        <v>11400</v>
      </c>
      <c r="B117" s="4">
        <v>4.8</v>
      </c>
      <c r="C117" s="23">
        <v>2.3871085643768311</v>
      </c>
      <c r="D117" s="23">
        <v>7.1871089935302734</v>
      </c>
      <c r="E117" s="3">
        <v>189</v>
      </c>
      <c r="F117" s="24">
        <v>0.51179893431014578</v>
      </c>
      <c r="G117" s="22">
        <f t="shared" si="2"/>
        <v>15.5</v>
      </c>
      <c r="H117" s="22">
        <f t="shared" si="3"/>
        <v>204.5</v>
      </c>
    </row>
    <row r="118" spans="1:8" ht="15.75" customHeight="1" x14ac:dyDescent="0.4">
      <c r="A118" s="5">
        <v>11500</v>
      </c>
      <c r="B118" s="4">
        <v>4.9000000000000004</v>
      </c>
      <c r="C118" s="23">
        <v>2.357841968536377</v>
      </c>
      <c r="D118" s="23">
        <v>7.2578420639038086</v>
      </c>
      <c r="E118" s="3">
        <v>190</v>
      </c>
      <c r="F118" s="24">
        <v>0.52135746115709769</v>
      </c>
      <c r="G118" s="22">
        <f t="shared" si="2"/>
        <v>15</v>
      </c>
      <c r="H118" s="22">
        <f t="shared" si="3"/>
        <v>205</v>
      </c>
    </row>
    <row r="119" spans="1:8" ht="15.75" customHeight="1" x14ac:dyDescent="0.4">
      <c r="A119" s="5">
        <v>11600</v>
      </c>
      <c r="B119" s="4">
        <v>4.8</v>
      </c>
      <c r="C119" s="23">
        <v>2.5803995132446289</v>
      </c>
      <c r="D119" s="23">
        <v>7.3803997039794922</v>
      </c>
      <c r="E119" s="3">
        <v>189</v>
      </c>
      <c r="F119" s="24">
        <v>0.45538341192496523</v>
      </c>
      <c r="G119" s="22">
        <f t="shared" si="2"/>
        <v>15.5</v>
      </c>
      <c r="H119" s="22">
        <f t="shared" si="3"/>
        <v>204.5</v>
      </c>
    </row>
    <row r="120" spans="1:8" ht="15.75" customHeight="1" x14ac:dyDescent="0.4">
      <c r="A120" s="5">
        <v>11700</v>
      </c>
      <c r="B120" s="4">
        <v>4.7</v>
      </c>
      <c r="C120" s="23">
        <v>2.7686092853546143</v>
      </c>
      <c r="D120" s="23">
        <v>7.4686088562011719</v>
      </c>
      <c r="E120" s="3">
        <v>188</v>
      </c>
      <c r="F120" s="24">
        <v>0.40974638151594978</v>
      </c>
      <c r="G120" s="22">
        <f t="shared" si="2"/>
        <v>16</v>
      </c>
      <c r="H120" s="22">
        <f t="shared" si="3"/>
        <v>204</v>
      </c>
    </row>
    <row r="121" spans="1:8" ht="15.75" customHeight="1" x14ac:dyDescent="0.4">
      <c r="A121" s="5">
        <v>11800</v>
      </c>
      <c r="B121" s="4">
        <v>4.5999999999999996</v>
      </c>
      <c r="C121" s="23">
        <v>2.9372034072875977</v>
      </c>
      <c r="D121" s="23">
        <v>7.537203311920166</v>
      </c>
      <c r="E121" s="3">
        <v>187</v>
      </c>
      <c r="F121" s="24">
        <v>0.37497869959603325</v>
      </c>
      <c r="G121" s="22">
        <f t="shared" si="2"/>
        <v>16.5</v>
      </c>
      <c r="H121" s="22">
        <f t="shared" si="3"/>
        <v>203.5</v>
      </c>
    </row>
    <row r="122" spans="1:8" ht="15.75" customHeight="1" x14ac:dyDescent="0.4">
      <c r="A122" s="5">
        <v>11900</v>
      </c>
      <c r="B122" s="4">
        <v>4.8</v>
      </c>
      <c r="C122" s="23">
        <v>2.7515666484832764</v>
      </c>
      <c r="D122" s="23">
        <v>7.5515670776367188</v>
      </c>
      <c r="E122" s="3">
        <v>186</v>
      </c>
      <c r="F122" s="24">
        <v>0.41355909711121758</v>
      </c>
      <c r="G122" s="22">
        <f t="shared" si="2"/>
        <v>17</v>
      </c>
      <c r="H122" s="22">
        <f t="shared" si="3"/>
        <v>203</v>
      </c>
    </row>
    <row r="123" spans="1:8" ht="15.75" customHeight="1" x14ac:dyDescent="0.4">
      <c r="A123" s="5">
        <v>12000</v>
      </c>
      <c r="B123" s="4">
        <v>4.7</v>
      </c>
      <c r="C123" s="23">
        <v>2.9216792583465576</v>
      </c>
      <c r="D123" s="23">
        <v>7.6216793060302734</v>
      </c>
      <c r="E123" s="3">
        <v>185</v>
      </c>
      <c r="F123" s="24">
        <v>0.37797130273932705</v>
      </c>
      <c r="G123" s="22">
        <f t="shared" si="2"/>
        <v>17.5</v>
      </c>
      <c r="H123" s="22">
        <f t="shared" si="3"/>
        <v>202.5</v>
      </c>
    </row>
    <row r="124" spans="1:8" ht="15.75" customHeight="1" x14ac:dyDescent="0.4">
      <c r="A124" s="5">
        <v>12100</v>
      </c>
      <c r="B124" s="4">
        <v>4.8</v>
      </c>
      <c r="C124" s="23">
        <v>2.8525173664093018</v>
      </c>
      <c r="D124" s="23">
        <v>7.6525173187255859</v>
      </c>
      <c r="E124" s="3">
        <v>184</v>
      </c>
      <c r="F124" s="24">
        <v>0.39180068228998544</v>
      </c>
      <c r="G124" s="22">
        <f t="shared" si="2"/>
        <v>18</v>
      </c>
      <c r="H124" s="22">
        <f t="shared" si="3"/>
        <v>202</v>
      </c>
    </row>
    <row r="125" spans="1:8" ht="15.75" customHeight="1" x14ac:dyDescent="0.4">
      <c r="A125" s="5">
        <v>12200</v>
      </c>
      <c r="B125" s="4">
        <v>4.9000000000000004</v>
      </c>
      <c r="C125" s="23">
        <v>2.786442756652832</v>
      </c>
      <c r="D125" s="23">
        <v>7.6864428520202637</v>
      </c>
      <c r="E125" s="3">
        <v>183</v>
      </c>
      <c r="F125" s="24">
        <v>0.40581906443439297</v>
      </c>
      <c r="G125" s="22">
        <f t="shared" si="2"/>
        <v>18.5</v>
      </c>
      <c r="H125" s="22">
        <f t="shared" si="3"/>
        <v>201.5</v>
      </c>
    </row>
    <row r="126" spans="1:8" ht="15.75" customHeight="1" x14ac:dyDescent="0.4">
      <c r="A126" s="5">
        <v>12300</v>
      </c>
      <c r="B126" s="4">
        <v>5</v>
      </c>
      <c r="C126" s="23">
        <v>2.7237107753753662</v>
      </c>
      <c r="D126" s="23">
        <v>7.7237110137939453</v>
      </c>
      <c r="E126" s="3">
        <v>182</v>
      </c>
      <c r="F126" s="24">
        <v>0.41991960400849437</v>
      </c>
      <c r="G126" s="22">
        <f t="shared" si="2"/>
        <v>19</v>
      </c>
      <c r="H126" s="22">
        <f t="shared" si="3"/>
        <v>201</v>
      </c>
    </row>
    <row r="127" spans="1:8" ht="15.75" customHeight="1" x14ac:dyDescent="0.4">
      <c r="A127" s="5">
        <v>12400</v>
      </c>
      <c r="B127" s="4">
        <v>5.0999999999999996</v>
      </c>
      <c r="C127" s="23">
        <v>2.6645689010620117</v>
      </c>
      <c r="D127" s="23">
        <v>7.7645688056945801</v>
      </c>
      <c r="E127" s="3">
        <v>181</v>
      </c>
      <c r="F127" s="24">
        <v>0.43397748776580408</v>
      </c>
      <c r="G127" s="22">
        <f t="shared" si="2"/>
        <v>19.5</v>
      </c>
      <c r="H127" s="22">
        <f t="shared" si="3"/>
        <v>200.5</v>
      </c>
    </row>
    <row r="128" spans="1:8" ht="15.75" customHeight="1" x14ac:dyDescent="0.4">
      <c r="A128" s="5">
        <v>12500</v>
      </c>
      <c r="B128" s="4">
        <v>5.2</v>
      </c>
      <c r="C128" s="23">
        <v>2.6092455387115479</v>
      </c>
      <c r="D128" s="23">
        <v>7.8092451095581055</v>
      </c>
      <c r="E128" s="3">
        <v>180</v>
      </c>
      <c r="F128" s="24">
        <v>0.44785271283314798</v>
      </c>
      <c r="G128" s="22">
        <f t="shared" si="2"/>
        <v>20</v>
      </c>
      <c r="H128" s="22">
        <f t="shared" si="3"/>
        <v>200</v>
      </c>
    </row>
    <row r="129" spans="1:8" ht="15.75" customHeight="1" x14ac:dyDescent="0.4">
      <c r="A129" s="5">
        <v>12600</v>
      </c>
      <c r="B129" s="4">
        <v>5.3</v>
      </c>
      <c r="C129" s="23">
        <v>2.557936429977417</v>
      </c>
      <c r="D129" s="23">
        <v>7.8579368591308594</v>
      </c>
      <c r="E129" s="3">
        <v>179</v>
      </c>
      <c r="F129" s="24">
        <v>0.46139513706001006</v>
      </c>
      <c r="G129" s="22">
        <f t="shared" si="2"/>
        <v>20.5</v>
      </c>
      <c r="H129" s="22">
        <f t="shared" si="3"/>
        <v>199.5</v>
      </c>
    </row>
    <row r="130" spans="1:8" ht="15.75" customHeight="1" x14ac:dyDescent="0.4">
      <c r="A130" s="5">
        <v>12700</v>
      </c>
      <c r="B130" s="4">
        <v>5.4</v>
      </c>
      <c r="C130" s="23">
        <v>2.5107944011688232</v>
      </c>
      <c r="D130" s="23">
        <v>7.9107942581176758</v>
      </c>
      <c r="E130" s="3">
        <v>178</v>
      </c>
      <c r="F130" s="24">
        <v>0.47445049745264117</v>
      </c>
      <c r="G130" s="22">
        <f t="shared" si="2"/>
        <v>21</v>
      </c>
      <c r="H130" s="22">
        <f t="shared" si="3"/>
        <v>199</v>
      </c>
    </row>
    <row r="131" spans="1:8" ht="15.75" customHeight="1" x14ac:dyDescent="0.4">
      <c r="A131" s="5">
        <v>12800</v>
      </c>
      <c r="B131" s="4">
        <v>5.5</v>
      </c>
      <c r="C131" s="23">
        <v>2.4679124355316162</v>
      </c>
      <c r="D131" s="23">
        <v>7.9679126739501953</v>
      </c>
      <c r="E131" s="3">
        <v>177</v>
      </c>
      <c r="F131" s="24">
        <v>0.48686999903617495</v>
      </c>
      <c r="G131" s="22">
        <f t="shared" si="2"/>
        <v>21.5</v>
      </c>
      <c r="H131" s="22">
        <f t="shared" si="3"/>
        <v>198.5</v>
      </c>
    </row>
    <row r="132" spans="1:8" ht="15.75" customHeight="1" x14ac:dyDescent="0.4">
      <c r="A132" s="5">
        <v>12900</v>
      </c>
      <c r="B132" s="4">
        <v>5.6</v>
      </c>
      <c r="C132" s="23">
        <v>2.4293158054351807</v>
      </c>
      <c r="D132" s="23">
        <v>8.0293159484863281</v>
      </c>
      <c r="E132" s="3">
        <v>176</v>
      </c>
      <c r="F132" s="24">
        <v>0.4985189481473819</v>
      </c>
      <c r="G132" s="22">
        <f t="shared" ref="G132:G195" si="4">(220-E132)/2</f>
        <v>22</v>
      </c>
      <c r="H132" s="22">
        <f t="shared" ref="H132:H195" si="5">-G132+220</f>
        <v>198</v>
      </c>
    </row>
    <row r="133" spans="1:8" ht="15.75" customHeight="1" x14ac:dyDescent="0.4">
      <c r="A133" s="5">
        <v>13000</v>
      </c>
      <c r="B133" s="4">
        <v>5.6</v>
      </c>
      <c r="C133" s="23">
        <v>2.5197670459747314</v>
      </c>
      <c r="D133" s="23">
        <v>8.1197671890258789</v>
      </c>
      <c r="E133" s="3">
        <v>175</v>
      </c>
      <c r="F133" s="24">
        <v>0.4719185468572773</v>
      </c>
      <c r="G133" s="22">
        <f t="shared" si="4"/>
        <v>22.5</v>
      </c>
      <c r="H133" s="22">
        <f t="shared" si="5"/>
        <v>197.5</v>
      </c>
    </row>
    <row r="134" spans="1:8" ht="15.75" customHeight="1" x14ac:dyDescent="0.4">
      <c r="A134" s="5">
        <v>13100</v>
      </c>
      <c r="B134" s="4">
        <v>5.7</v>
      </c>
      <c r="C134" s="23">
        <v>2.4760398864746094</v>
      </c>
      <c r="D134" s="23">
        <v>8.1760396957397461</v>
      </c>
      <c r="E134" s="3">
        <v>174</v>
      </c>
      <c r="F134" s="24">
        <v>0.4844747853447417</v>
      </c>
      <c r="G134" s="22">
        <f t="shared" si="4"/>
        <v>23</v>
      </c>
      <c r="H134" s="22">
        <f t="shared" si="5"/>
        <v>197</v>
      </c>
    </row>
    <row r="135" spans="1:8" ht="15.75" customHeight="1" x14ac:dyDescent="0.4">
      <c r="A135" s="5">
        <v>13200</v>
      </c>
      <c r="B135" s="4">
        <v>5.9</v>
      </c>
      <c r="C135" s="23">
        <v>2.309520959854126</v>
      </c>
      <c r="D135" s="23">
        <v>8.2095212936401367</v>
      </c>
      <c r="E135" s="3">
        <v>173</v>
      </c>
      <c r="F135" s="24">
        <v>0.53780492083544584</v>
      </c>
      <c r="G135" s="22">
        <f t="shared" si="4"/>
        <v>23.5</v>
      </c>
      <c r="H135" s="22">
        <f t="shared" si="5"/>
        <v>196.5</v>
      </c>
    </row>
    <row r="136" spans="1:8" ht="15.75" customHeight="1" x14ac:dyDescent="0.4">
      <c r="A136" s="5">
        <v>13300</v>
      </c>
      <c r="B136" s="4">
        <v>6.1</v>
      </c>
      <c r="C136" s="23">
        <v>2.1575005054473877</v>
      </c>
      <c r="D136" s="23">
        <v>8.2575006484985352</v>
      </c>
      <c r="E136" s="3">
        <v>172</v>
      </c>
      <c r="F136" s="24">
        <v>0.59563646080349708</v>
      </c>
      <c r="G136" s="22">
        <f t="shared" si="4"/>
        <v>24</v>
      </c>
      <c r="H136" s="22">
        <f t="shared" si="5"/>
        <v>196</v>
      </c>
    </row>
    <row r="137" spans="1:8" ht="15.75" customHeight="1" x14ac:dyDescent="0.4">
      <c r="A137" s="5">
        <v>13400</v>
      </c>
      <c r="B137" s="4">
        <v>6.3</v>
      </c>
      <c r="C137" s="23">
        <v>2.0265710353851318</v>
      </c>
      <c r="D137" s="23">
        <v>8.3265714645385742</v>
      </c>
      <c r="E137" s="3">
        <v>171</v>
      </c>
      <c r="F137" s="24">
        <v>0.65428187077713107</v>
      </c>
      <c r="G137" s="22">
        <f t="shared" si="4"/>
        <v>24.5</v>
      </c>
      <c r="H137" s="22">
        <f t="shared" si="5"/>
        <v>195.5</v>
      </c>
    </row>
    <row r="138" spans="1:8" ht="15.75" customHeight="1" x14ac:dyDescent="0.4">
      <c r="A138" s="5">
        <v>13500</v>
      </c>
      <c r="B138" s="4">
        <v>6.5</v>
      </c>
      <c r="C138" s="23">
        <v>1.924359917640686</v>
      </c>
      <c r="D138" s="23">
        <v>8.4243602752685547</v>
      </c>
      <c r="E138" s="3">
        <v>170</v>
      </c>
      <c r="F138" s="24">
        <v>0.7070956735772207</v>
      </c>
      <c r="G138" s="22">
        <f t="shared" si="4"/>
        <v>25</v>
      </c>
      <c r="H138" s="22">
        <f t="shared" si="5"/>
        <v>195</v>
      </c>
    </row>
    <row r="139" spans="1:8" ht="15.75" customHeight="1" x14ac:dyDescent="0.4">
      <c r="A139" s="5">
        <v>13600</v>
      </c>
      <c r="B139" s="4">
        <v>6.7</v>
      </c>
      <c r="C139" s="23">
        <v>1.8558975458145142</v>
      </c>
      <c r="D139" s="23">
        <v>8.5558977127075195</v>
      </c>
      <c r="E139" s="3">
        <v>169</v>
      </c>
      <c r="F139" s="24">
        <v>0.74658049153191075</v>
      </c>
      <c r="G139" s="22">
        <f t="shared" si="4"/>
        <v>25.5</v>
      </c>
      <c r="H139" s="22">
        <f t="shared" si="5"/>
        <v>194.5</v>
      </c>
    </row>
    <row r="140" spans="1:8" ht="15.75" customHeight="1" x14ac:dyDescent="0.4">
      <c r="A140" s="5">
        <v>13700</v>
      </c>
      <c r="B140" s="4">
        <v>6.9</v>
      </c>
      <c r="C140" s="23">
        <v>1.8190304040908813</v>
      </c>
      <c r="D140" s="23">
        <v>8.7190303802490234</v>
      </c>
      <c r="E140" s="3">
        <v>168</v>
      </c>
      <c r="F140" s="24">
        <v>0.76939205347468975</v>
      </c>
      <c r="G140" s="22">
        <f t="shared" si="4"/>
        <v>26</v>
      </c>
      <c r="H140" s="22">
        <f t="shared" si="5"/>
        <v>194</v>
      </c>
    </row>
    <row r="141" spans="1:8" ht="15.75" customHeight="1" x14ac:dyDescent="0.4">
      <c r="A141" s="5">
        <v>13800</v>
      </c>
      <c r="B141" s="4">
        <v>7.1</v>
      </c>
      <c r="C141" s="23">
        <v>1.8020159006118774</v>
      </c>
      <c r="D141" s="23">
        <v>8.9020156860351563</v>
      </c>
      <c r="E141" s="3">
        <v>167</v>
      </c>
      <c r="F141" s="24">
        <v>0.78031455085338508</v>
      </c>
      <c r="G141" s="22">
        <f t="shared" si="4"/>
        <v>26.5</v>
      </c>
      <c r="H141" s="22">
        <f t="shared" si="5"/>
        <v>193.5</v>
      </c>
    </row>
    <row r="142" spans="1:8" ht="15.75" customHeight="1" x14ac:dyDescent="0.4">
      <c r="A142" s="5">
        <v>13900</v>
      </c>
      <c r="B142" s="4">
        <v>7.3</v>
      </c>
      <c r="C142" s="23">
        <v>1.7952783107757568</v>
      </c>
      <c r="D142" s="23">
        <v>9.0952787399291992</v>
      </c>
      <c r="E142" s="3">
        <v>166</v>
      </c>
      <c r="F142" s="24">
        <v>0.7847113920013854</v>
      </c>
      <c r="G142" s="22">
        <f t="shared" si="4"/>
        <v>27</v>
      </c>
      <c r="H142" s="22">
        <f t="shared" si="5"/>
        <v>193</v>
      </c>
    </row>
    <row r="143" spans="1:8" ht="15.75" customHeight="1" x14ac:dyDescent="0.4">
      <c r="A143" s="5">
        <v>14000</v>
      </c>
      <c r="B143" s="4">
        <v>7.3</v>
      </c>
      <c r="C143" s="23">
        <v>2.1035616397857666</v>
      </c>
      <c r="D143" s="23">
        <v>9.4035615921020508</v>
      </c>
      <c r="E143" s="3">
        <v>165</v>
      </c>
      <c r="F143" s="24">
        <v>0.6186923839214854</v>
      </c>
      <c r="G143" s="22">
        <f t="shared" si="4"/>
        <v>27.5</v>
      </c>
      <c r="H143" s="22">
        <f t="shared" si="5"/>
        <v>192.5</v>
      </c>
    </row>
    <row r="144" spans="1:8" ht="15.75" customHeight="1" x14ac:dyDescent="0.4">
      <c r="A144" s="5">
        <v>14100</v>
      </c>
      <c r="B144" s="4">
        <v>7.4</v>
      </c>
      <c r="C144" s="23">
        <v>2.1276562213897705</v>
      </c>
      <c r="D144" s="23">
        <v>9.5276565551757813</v>
      </c>
      <c r="E144" s="3">
        <v>164</v>
      </c>
      <c r="F144" s="24">
        <v>0.60821264795637453</v>
      </c>
      <c r="G144" s="22">
        <f t="shared" si="4"/>
        <v>28</v>
      </c>
      <c r="H144" s="22">
        <f t="shared" si="5"/>
        <v>192</v>
      </c>
    </row>
    <row r="145" spans="1:8" ht="15.75" customHeight="1" x14ac:dyDescent="0.4">
      <c r="A145" s="5">
        <v>14200</v>
      </c>
      <c r="B145" s="4">
        <v>7.5</v>
      </c>
      <c r="C145" s="23">
        <v>2.1453971862792969</v>
      </c>
      <c r="D145" s="23">
        <v>9.6453971862792969</v>
      </c>
      <c r="E145" s="3">
        <v>163</v>
      </c>
      <c r="F145" s="24">
        <v>0.60068401311357389</v>
      </c>
      <c r="G145" s="22">
        <f t="shared" si="4"/>
        <v>28.5</v>
      </c>
      <c r="H145" s="22">
        <f t="shared" si="5"/>
        <v>191.5</v>
      </c>
    </row>
    <row r="146" spans="1:8" ht="15.75" customHeight="1" x14ac:dyDescent="0.4">
      <c r="A146" s="5">
        <v>14300</v>
      </c>
      <c r="B146" s="4">
        <v>7.6</v>
      </c>
      <c r="C146" s="23">
        <v>2.1587424278259277</v>
      </c>
      <c r="D146" s="23">
        <v>9.7587423324584961</v>
      </c>
      <c r="E146" s="3">
        <v>162</v>
      </c>
      <c r="F146" s="24">
        <v>0.59512253113895197</v>
      </c>
      <c r="G146" s="22">
        <f t="shared" si="4"/>
        <v>29</v>
      </c>
      <c r="H146" s="22">
        <f t="shared" si="5"/>
        <v>191</v>
      </c>
    </row>
    <row r="147" spans="1:8" ht="15.75" customHeight="1" x14ac:dyDescent="0.4">
      <c r="A147" s="5">
        <v>14400</v>
      </c>
      <c r="B147" s="4">
        <v>7.7</v>
      </c>
      <c r="C147" s="23">
        <v>2.1689286231994629</v>
      </c>
      <c r="D147" s="23">
        <v>9.8689289093017578</v>
      </c>
      <c r="E147" s="3">
        <v>161</v>
      </c>
      <c r="F147" s="24">
        <v>0.59093504110409423</v>
      </c>
      <c r="G147" s="22">
        <f t="shared" si="4"/>
        <v>29.5</v>
      </c>
      <c r="H147" s="22">
        <f t="shared" si="5"/>
        <v>190.5</v>
      </c>
    </row>
    <row r="148" spans="1:8" ht="15.75" customHeight="1" x14ac:dyDescent="0.4">
      <c r="A148" s="5">
        <v>14500</v>
      </c>
      <c r="B148" s="4">
        <v>7.8</v>
      </c>
      <c r="C148" s="23">
        <v>2.176783561706543</v>
      </c>
      <c r="D148" s="23">
        <v>9.9767837524414063</v>
      </c>
      <c r="E148" s="3">
        <v>160</v>
      </c>
      <c r="F148" s="24">
        <v>0.58773933861327532</v>
      </c>
      <c r="G148" s="22">
        <f t="shared" si="4"/>
        <v>30</v>
      </c>
      <c r="H148" s="22">
        <f t="shared" si="5"/>
        <v>190</v>
      </c>
    </row>
    <row r="149" spans="1:8" ht="15.75" customHeight="1" x14ac:dyDescent="0.4">
      <c r="A149" s="5">
        <v>14600</v>
      </c>
      <c r="B149" s="4">
        <v>7.9</v>
      </c>
      <c r="C149" s="23">
        <v>2.1828880310058594</v>
      </c>
      <c r="D149" s="23">
        <v>10.082887649536133</v>
      </c>
      <c r="E149" s="3">
        <v>159</v>
      </c>
      <c r="F149" s="24">
        <v>0.58527563421924378</v>
      </c>
      <c r="G149" s="22">
        <f t="shared" si="4"/>
        <v>30.5</v>
      </c>
      <c r="H149" s="22">
        <f t="shared" si="5"/>
        <v>189.5</v>
      </c>
    </row>
    <row r="150" spans="1:8" ht="15.75" customHeight="1" x14ac:dyDescent="0.4">
      <c r="A150" s="5">
        <v>14700</v>
      </c>
      <c r="B150" s="4">
        <v>8</v>
      </c>
      <c r="C150" s="23">
        <v>2.1876585483551025</v>
      </c>
      <c r="D150" s="23">
        <v>10.187658309936523</v>
      </c>
      <c r="E150" s="3">
        <v>158</v>
      </c>
      <c r="F150" s="24">
        <v>0.58336225640821304</v>
      </c>
      <c r="G150" s="22">
        <f t="shared" si="4"/>
        <v>31</v>
      </c>
      <c r="H150" s="22">
        <f t="shared" si="5"/>
        <v>189</v>
      </c>
    </row>
    <row r="151" spans="1:8" ht="15.75" customHeight="1" x14ac:dyDescent="0.4">
      <c r="A151" s="5">
        <v>14800</v>
      </c>
      <c r="B151" s="4">
        <v>8.1</v>
      </c>
      <c r="C151" s="23">
        <v>2.1914017200469971</v>
      </c>
      <c r="D151" s="23">
        <v>10.291401863098145</v>
      </c>
      <c r="E151" s="3">
        <v>157</v>
      </c>
      <c r="F151" s="24">
        <v>0.58186821791679699</v>
      </c>
      <c r="G151" s="22">
        <f t="shared" si="4"/>
        <v>31.5</v>
      </c>
      <c r="H151" s="22">
        <f t="shared" si="5"/>
        <v>188.5</v>
      </c>
    </row>
    <row r="152" spans="1:8" ht="15.75" customHeight="1" x14ac:dyDescent="0.4">
      <c r="A152" s="5">
        <v>14900</v>
      </c>
      <c r="B152" s="4">
        <v>8.1999999999999993</v>
      </c>
      <c r="C152" s="23">
        <v>2.1943504810333252</v>
      </c>
      <c r="D152" s="23">
        <v>10.394350051879883</v>
      </c>
      <c r="E152" s="3">
        <v>156</v>
      </c>
      <c r="F152" s="24">
        <v>0.58069574312243732</v>
      </c>
      <c r="G152" s="22">
        <f t="shared" si="4"/>
        <v>32</v>
      </c>
      <c r="H152" s="22">
        <f t="shared" si="5"/>
        <v>188</v>
      </c>
    </row>
    <row r="153" spans="1:8" ht="15.75" customHeight="1" x14ac:dyDescent="0.4">
      <c r="A153" s="5">
        <v>15000</v>
      </c>
      <c r="B153" s="4">
        <v>8.4</v>
      </c>
      <c r="C153" s="23">
        <v>2.0573558807373047</v>
      </c>
      <c r="D153" s="23">
        <v>10.457355499267578</v>
      </c>
      <c r="E153" s="3">
        <v>155</v>
      </c>
      <c r="F153" s="24">
        <v>0.63965161417527194</v>
      </c>
      <c r="G153" s="22">
        <f t="shared" si="4"/>
        <v>32.5</v>
      </c>
      <c r="H153" s="22">
        <f t="shared" si="5"/>
        <v>187.5</v>
      </c>
    </row>
    <row r="154" spans="1:8" ht="15.75" customHeight="1" x14ac:dyDescent="0.4">
      <c r="A154" s="5">
        <v>15100</v>
      </c>
      <c r="B154" s="4">
        <v>8.3000000000000007</v>
      </c>
      <c r="C154" s="23">
        <v>2.3617784976959229</v>
      </c>
      <c r="D154" s="23">
        <v>10.661778450012207</v>
      </c>
      <c r="E154" s="3">
        <v>154</v>
      </c>
      <c r="F154" s="24">
        <v>0.52005453409101421</v>
      </c>
      <c r="G154" s="22">
        <f t="shared" si="4"/>
        <v>33</v>
      </c>
      <c r="H154" s="22">
        <f t="shared" si="5"/>
        <v>187</v>
      </c>
    </row>
    <row r="155" spans="1:8" ht="15.75" customHeight="1" x14ac:dyDescent="0.4">
      <c r="A155" s="5">
        <v>15200</v>
      </c>
      <c r="B155" s="4">
        <v>8.4</v>
      </c>
      <c r="C155" s="23">
        <v>2.3358292579650879</v>
      </c>
      <c r="D155" s="23">
        <v>10.735828399658203</v>
      </c>
      <c r="E155" s="3">
        <v>153</v>
      </c>
      <c r="F155" s="24">
        <v>0.52874465799988901</v>
      </c>
      <c r="G155" s="22">
        <f t="shared" si="4"/>
        <v>33.5</v>
      </c>
      <c r="H155" s="22">
        <f t="shared" si="5"/>
        <v>186.5</v>
      </c>
    </row>
    <row r="156" spans="1:8" ht="15.75" customHeight="1" x14ac:dyDescent="0.4">
      <c r="A156" s="5">
        <v>15300</v>
      </c>
      <c r="B156" s="4">
        <v>8.5</v>
      </c>
      <c r="C156" s="23">
        <v>2.3134989738464355</v>
      </c>
      <c r="D156" s="23">
        <v>10.813499450683594</v>
      </c>
      <c r="E156" s="3">
        <v>152</v>
      </c>
      <c r="F156" s="24">
        <v>0.53641840050476675</v>
      </c>
      <c r="G156" s="22">
        <f t="shared" si="4"/>
        <v>34</v>
      </c>
      <c r="H156" s="22">
        <f t="shared" si="5"/>
        <v>186</v>
      </c>
    </row>
    <row r="157" spans="1:8" ht="15.75" customHeight="1" x14ac:dyDescent="0.4">
      <c r="A157" s="5">
        <v>15400</v>
      </c>
      <c r="B157" s="4">
        <v>8.6</v>
      </c>
      <c r="C157" s="23">
        <v>2.2944788932800293</v>
      </c>
      <c r="D157" s="23">
        <v>10.894479751586914</v>
      </c>
      <c r="E157" s="3">
        <v>151</v>
      </c>
      <c r="F157" s="24">
        <v>0.54310216384105936</v>
      </c>
      <c r="G157" s="22">
        <f t="shared" si="4"/>
        <v>34.5</v>
      </c>
      <c r="H157" s="22">
        <f t="shared" si="5"/>
        <v>185.5</v>
      </c>
    </row>
    <row r="158" spans="1:8" ht="15.75" customHeight="1" x14ac:dyDescent="0.4">
      <c r="A158" s="5">
        <v>15500</v>
      </c>
      <c r="B158" s="4">
        <v>8.6999999999999993</v>
      </c>
      <c r="C158" s="23">
        <v>2.2784321308135986</v>
      </c>
      <c r="D158" s="23">
        <v>10.978431701660156</v>
      </c>
      <c r="E158" s="3">
        <v>150</v>
      </c>
      <c r="F158" s="24">
        <v>0.54884977297699677</v>
      </c>
      <c r="G158" s="22">
        <f t="shared" si="4"/>
        <v>35</v>
      </c>
      <c r="H158" s="22">
        <f t="shared" si="5"/>
        <v>185</v>
      </c>
    </row>
    <row r="159" spans="1:8" ht="15.75" customHeight="1" x14ac:dyDescent="0.4">
      <c r="A159" s="5">
        <v>15600</v>
      </c>
      <c r="B159" s="4">
        <v>8.8000000000000007</v>
      </c>
      <c r="C159" s="23">
        <v>2.2650082111358643</v>
      </c>
      <c r="D159" s="23">
        <v>11.065008163452148</v>
      </c>
      <c r="E159" s="3">
        <v>150</v>
      </c>
      <c r="F159" s="24">
        <v>0.55373625922463476</v>
      </c>
      <c r="G159" s="22">
        <f t="shared" si="4"/>
        <v>35</v>
      </c>
      <c r="H159" s="22">
        <f t="shared" si="5"/>
        <v>185</v>
      </c>
    </row>
    <row r="160" spans="1:8" ht="15.75" customHeight="1" x14ac:dyDescent="0.4">
      <c r="A160" s="5">
        <v>15700</v>
      </c>
      <c r="B160" s="4">
        <v>8.9</v>
      </c>
      <c r="C160" s="23">
        <v>2.2538671493530273</v>
      </c>
      <c r="D160" s="23">
        <v>11.153866767883301</v>
      </c>
      <c r="E160" s="3">
        <v>150</v>
      </c>
      <c r="F160" s="24">
        <v>0.55784707871784389</v>
      </c>
      <c r="G160" s="22">
        <f t="shared" si="4"/>
        <v>35</v>
      </c>
      <c r="H160" s="22">
        <f t="shared" si="5"/>
        <v>185</v>
      </c>
    </row>
    <row r="161" spans="1:8" ht="15.75" customHeight="1" x14ac:dyDescent="0.4">
      <c r="A161" s="5">
        <v>15800</v>
      </c>
      <c r="B161" s="4">
        <v>8.8000000000000007</v>
      </c>
      <c r="C161" s="23">
        <v>2.4987523555755615</v>
      </c>
      <c r="D161" s="23">
        <v>11.298752784729004</v>
      </c>
      <c r="E161" s="3">
        <v>150</v>
      </c>
      <c r="F161" s="24">
        <v>0.47788435063536322</v>
      </c>
      <c r="G161" s="22">
        <f t="shared" si="4"/>
        <v>35</v>
      </c>
      <c r="H161" s="22">
        <f t="shared" si="5"/>
        <v>185</v>
      </c>
    </row>
    <row r="162" spans="1:8" ht="15.75" customHeight="1" x14ac:dyDescent="0.4">
      <c r="A162" s="5">
        <v>15900</v>
      </c>
      <c r="B162" s="4">
        <v>8.8000000000000007</v>
      </c>
      <c r="C162" s="23">
        <v>2.579636812210083</v>
      </c>
      <c r="D162" s="23">
        <v>11.379636764526367</v>
      </c>
      <c r="E162" s="3">
        <v>150</v>
      </c>
      <c r="F162" s="24">
        <v>0.45558538632826001</v>
      </c>
      <c r="G162" s="22">
        <f t="shared" si="4"/>
        <v>35</v>
      </c>
      <c r="H162" s="22">
        <f t="shared" si="5"/>
        <v>185</v>
      </c>
    </row>
    <row r="163" spans="1:8" ht="15.75" customHeight="1" x14ac:dyDescent="0.4">
      <c r="A163" s="5">
        <v>16000</v>
      </c>
      <c r="B163" s="4">
        <v>8.8000000000000007</v>
      </c>
      <c r="C163" s="23">
        <v>2.6510465145111084</v>
      </c>
      <c r="D163" s="23">
        <v>11.451046943664551</v>
      </c>
      <c r="E163" s="3">
        <v>150</v>
      </c>
      <c r="F163" s="24">
        <v>0.43730214935926537</v>
      </c>
      <c r="G163" s="22">
        <f t="shared" si="4"/>
        <v>35</v>
      </c>
      <c r="H163" s="22">
        <f t="shared" si="5"/>
        <v>185</v>
      </c>
    </row>
    <row r="164" spans="1:8" ht="15.75" customHeight="1" x14ac:dyDescent="0.4">
      <c r="A164" s="5">
        <v>16100</v>
      </c>
      <c r="B164" s="4">
        <v>9</v>
      </c>
      <c r="C164" s="23">
        <v>2.4748020172119141</v>
      </c>
      <c r="D164" s="23">
        <v>11.474802017211914</v>
      </c>
      <c r="E164" s="3">
        <v>150</v>
      </c>
      <c r="F164" s="24">
        <v>0.48483832438412583</v>
      </c>
      <c r="G164" s="22">
        <f t="shared" si="4"/>
        <v>35</v>
      </c>
      <c r="H164" s="22">
        <f t="shared" si="5"/>
        <v>185</v>
      </c>
    </row>
    <row r="165" spans="1:8" ht="15.75" customHeight="1" x14ac:dyDescent="0.4">
      <c r="A165" s="5">
        <v>16200</v>
      </c>
      <c r="B165" s="4">
        <v>9.1999999999999993</v>
      </c>
      <c r="C165" s="23">
        <v>2.3083691596984863</v>
      </c>
      <c r="D165" s="23">
        <v>11.508369445800781</v>
      </c>
      <c r="E165" s="3">
        <v>150</v>
      </c>
      <c r="F165" s="24">
        <v>0.53820749144660984</v>
      </c>
      <c r="G165" s="22">
        <f t="shared" si="4"/>
        <v>35</v>
      </c>
      <c r="H165" s="22">
        <f t="shared" si="5"/>
        <v>185</v>
      </c>
    </row>
    <row r="166" spans="1:8" ht="15.75" customHeight="1" x14ac:dyDescent="0.4">
      <c r="A166" s="5">
        <v>16300</v>
      </c>
      <c r="B166" s="4">
        <v>9.4</v>
      </c>
      <c r="C166" s="23">
        <v>2.1564748287200928</v>
      </c>
      <c r="D166" s="23">
        <v>11.556474685668945</v>
      </c>
      <c r="E166" s="3">
        <v>150</v>
      </c>
      <c r="F166" s="24">
        <v>0.59606146211969757</v>
      </c>
      <c r="G166" s="22">
        <f t="shared" si="4"/>
        <v>35</v>
      </c>
      <c r="H166" s="22">
        <f t="shared" si="5"/>
        <v>185</v>
      </c>
    </row>
    <row r="167" spans="1:8" ht="15.75" customHeight="1" x14ac:dyDescent="0.4">
      <c r="A167" s="5">
        <v>16400</v>
      </c>
      <c r="B167" s="4">
        <v>9.6</v>
      </c>
      <c r="C167" s="23">
        <v>2.0257244110107422</v>
      </c>
      <c r="D167" s="23">
        <v>11.625724792480469</v>
      </c>
      <c r="E167" s="3">
        <v>150</v>
      </c>
      <c r="F167" s="24">
        <v>0.65469208614217789</v>
      </c>
      <c r="G167" s="22">
        <f t="shared" si="4"/>
        <v>35</v>
      </c>
      <c r="H167" s="22">
        <f t="shared" si="5"/>
        <v>185</v>
      </c>
    </row>
    <row r="168" spans="1:8" ht="15.75" customHeight="1" x14ac:dyDescent="0.4">
      <c r="A168" s="5">
        <v>16500</v>
      </c>
      <c r="B168" s="4">
        <v>9.8000000000000007</v>
      </c>
      <c r="C168" s="23">
        <v>1.9237446784973145</v>
      </c>
      <c r="D168" s="23">
        <v>11.723745346069336</v>
      </c>
      <c r="E168" s="3">
        <v>150</v>
      </c>
      <c r="F168" s="24">
        <v>0.70743490860292302</v>
      </c>
      <c r="G168" s="22">
        <f t="shared" si="4"/>
        <v>35</v>
      </c>
      <c r="H168" s="22">
        <f t="shared" si="5"/>
        <v>185</v>
      </c>
    </row>
    <row r="169" spans="1:8" ht="15.75" customHeight="1" x14ac:dyDescent="0.4">
      <c r="A169" s="5">
        <v>16600</v>
      </c>
      <c r="B169" s="4">
        <v>10</v>
      </c>
      <c r="C169" s="23">
        <v>1.8555265665054321</v>
      </c>
      <c r="D169" s="23">
        <v>11.855526924133301</v>
      </c>
      <c r="E169" s="3">
        <v>150</v>
      </c>
      <c r="F169" s="24">
        <v>0.74680440082244992</v>
      </c>
      <c r="G169" s="22">
        <f t="shared" si="4"/>
        <v>35</v>
      </c>
      <c r="H169" s="22">
        <f t="shared" si="5"/>
        <v>185</v>
      </c>
    </row>
    <row r="170" spans="1:8" ht="15.75" customHeight="1" x14ac:dyDescent="0.4">
      <c r="A170" s="5">
        <v>16700</v>
      </c>
      <c r="B170" s="4">
        <v>10.199999999999999</v>
      </c>
      <c r="C170" s="23">
        <v>1.8188450336456299</v>
      </c>
      <c r="D170" s="23">
        <v>12.018844604492188</v>
      </c>
      <c r="E170" s="3">
        <v>150</v>
      </c>
      <c r="F170" s="24">
        <v>0.76950967716889596</v>
      </c>
      <c r="G170" s="22">
        <f t="shared" si="4"/>
        <v>35</v>
      </c>
      <c r="H170" s="22">
        <f t="shared" si="5"/>
        <v>185</v>
      </c>
    </row>
    <row r="171" spans="1:8" ht="15.75" customHeight="1" x14ac:dyDescent="0.4">
      <c r="A171" s="5">
        <v>16800</v>
      </c>
      <c r="B171" s="4">
        <v>10.4</v>
      </c>
      <c r="C171" s="23">
        <v>1.8019382953643799</v>
      </c>
      <c r="D171" s="23">
        <v>12.201937675476074</v>
      </c>
      <c r="E171" s="3">
        <v>150</v>
      </c>
      <c r="F171" s="24">
        <v>0.78036496086687102</v>
      </c>
      <c r="G171" s="22">
        <f t="shared" si="4"/>
        <v>35</v>
      </c>
      <c r="H171" s="22">
        <f t="shared" si="5"/>
        <v>185</v>
      </c>
    </row>
    <row r="172" spans="1:8" ht="15.75" customHeight="1" x14ac:dyDescent="0.4">
      <c r="A172" s="5">
        <v>16900</v>
      </c>
      <c r="B172" s="4">
        <v>10.6</v>
      </c>
      <c r="C172" s="23">
        <v>1.7952487468719482</v>
      </c>
      <c r="D172" s="23">
        <v>12.395249366760254</v>
      </c>
      <c r="E172" s="3">
        <v>150</v>
      </c>
      <c r="F172" s="24">
        <v>0.78473077585640327</v>
      </c>
      <c r="G172" s="22">
        <f t="shared" si="4"/>
        <v>35</v>
      </c>
      <c r="H172" s="22">
        <f t="shared" si="5"/>
        <v>185</v>
      </c>
    </row>
    <row r="173" spans="1:8" ht="15.75" customHeight="1" x14ac:dyDescent="0.4">
      <c r="A173" s="5">
        <v>17000</v>
      </c>
      <c r="B173" s="4">
        <v>10.7</v>
      </c>
      <c r="C173" s="23">
        <v>1.9565085172653198</v>
      </c>
      <c r="D173" s="23">
        <v>12.656508445739746</v>
      </c>
      <c r="E173" s="3">
        <v>150</v>
      </c>
      <c r="F173" s="24">
        <v>0.6897393752966382</v>
      </c>
      <c r="G173" s="22">
        <f t="shared" si="4"/>
        <v>35</v>
      </c>
      <c r="H173" s="22">
        <f t="shared" si="5"/>
        <v>185</v>
      </c>
    </row>
    <row r="174" spans="1:8" ht="15.75" customHeight="1" x14ac:dyDescent="0.4">
      <c r="A174" s="5">
        <v>17100</v>
      </c>
      <c r="B174" s="4">
        <v>10.8</v>
      </c>
      <c r="C174" s="23">
        <v>2.030116081237793</v>
      </c>
      <c r="D174" s="23">
        <v>12.830116271972656</v>
      </c>
      <c r="E174" s="3">
        <v>151</v>
      </c>
      <c r="F174" s="24">
        <v>0.65256883102825669</v>
      </c>
      <c r="G174" s="22">
        <f t="shared" si="4"/>
        <v>34.5</v>
      </c>
      <c r="H174" s="22">
        <f t="shared" si="5"/>
        <v>185.5</v>
      </c>
    </row>
    <row r="175" spans="1:8" ht="15.75" customHeight="1" x14ac:dyDescent="0.4">
      <c r="A175" s="5">
        <v>17200</v>
      </c>
      <c r="B175" s="4">
        <v>10.9</v>
      </c>
      <c r="C175" s="23">
        <v>2.0767698287963867</v>
      </c>
      <c r="D175" s="23">
        <v>12.97676944732666</v>
      </c>
      <c r="E175" s="3">
        <v>152</v>
      </c>
      <c r="F175" s="24">
        <v>0.63070327336889975</v>
      </c>
      <c r="G175" s="22">
        <f t="shared" si="4"/>
        <v>34</v>
      </c>
      <c r="H175" s="22">
        <f t="shared" si="5"/>
        <v>186</v>
      </c>
    </row>
    <row r="176" spans="1:8" ht="15.75" customHeight="1" x14ac:dyDescent="0.4">
      <c r="A176" s="5">
        <v>17300</v>
      </c>
      <c r="B176" s="4">
        <v>11</v>
      </c>
      <c r="C176" s="23">
        <v>2.1084976196289063</v>
      </c>
      <c r="D176" s="23">
        <v>13.108497619628906</v>
      </c>
      <c r="E176" s="3">
        <v>153</v>
      </c>
      <c r="F176" s="24">
        <v>0.61652112334216869</v>
      </c>
      <c r="G176" s="22">
        <f t="shared" si="4"/>
        <v>33.5</v>
      </c>
      <c r="H176" s="22">
        <f t="shared" si="5"/>
        <v>186.5</v>
      </c>
    </row>
    <row r="177" spans="1:8" ht="15.75" customHeight="1" x14ac:dyDescent="0.4">
      <c r="A177" s="5">
        <v>17400</v>
      </c>
      <c r="B177" s="4">
        <v>11.1</v>
      </c>
      <c r="C177" s="23">
        <v>2.1312520503997803</v>
      </c>
      <c r="D177" s="23">
        <v>13.231252670288086</v>
      </c>
      <c r="E177" s="3">
        <v>154</v>
      </c>
      <c r="F177" s="24">
        <v>0.60667404115004309</v>
      </c>
      <c r="G177" s="22">
        <f t="shared" si="4"/>
        <v>33</v>
      </c>
      <c r="H177" s="22">
        <f t="shared" si="5"/>
        <v>187</v>
      </c>
    </row>
    <row r="178" spans="1:8" ht="15.75" customHeight="1" x14ac:dyDescent="0.4">
      <c r="A178" s="5">
        <v>17500</v>
      </c>
      <c r="B178" s="4">
        <v>11.2</v>
      </c>
      <c r="C178" s="23">
        <v>2.1480836868286133</v>
      </c>
      <c r="D178" s="23">
        <v>13.34808349609375</v>
      </c>
      <c r="E178" s="3">
        <v>155</v>
      </c>
      <c r="F178" s="24">
        <v>0.59955749745643927</v>
      </c>
      <c r="G178" s="22">
        <f t="shared" si="4"/>
        <v>32.5</v>
      </c>
      <c r="H178" s="22">
        <f t="shared" si="5"/>
        <v>187.5</v>
      </c>
    </row>
    <row r="179" spans="1:8" ht="15.75" customHeight="1" x14ac:dyDescent="0.4">
      <c r="A179" s="5">
        <v>17600</v>
      </c>
      <c r="B179" s="4">
        <v>11.3</v>
      </c>
      <c r="C179" s="23">
        <v>2.1607823371887207</v>
      </c>
      <c r="D179" s="23">
        <v>13.460783004760742</v>
      </c>
      <c r="E179" s="3">
        <v>156</v>
      </c>
      <c r="F179" s="24">
        <v>0.59427998251488168</v>
      </c>
      <c r="G179" s="22">
        <f t="shared" si="4"/>
        <v>32</v>
      </c>
      <c r="H179" s="22">
        <f t="shared" si="5"/>
        <v>188</v>
      </c>
    </row>
    <row r="180" spans="1:8" ht="15.75" customHeight="1" x14ac:dyDescent="0.4">
      <c r="A180" s="5">
        <v>17700</v>
      </c>
      <c r="B180" s="4">
        <v>11.4</v>
      </c>
      <c r="C180" s="23">
        <v>2.1704971790313721</v>
      </c>
      <c r="D180" s="23">
        <v>13.570496559143066</v>
      </c>
      <c r="E180" s="3">
        <v>157</v>
      </c>
      <c r="F180" s="24">
        <v>0.59029457923423678</v>
      </c>
      <c r="G180" s="22">
        <f t="shared" si="4"/>
        <v>31.5</v>
      </c>
      <c r="H180" s="22">
        <f t="shared" si="5"/>
        <v>188.5</v>
      </c>
    </row>
    <row r="181" spans="1:8" ht="15.75" customHeight="1" x14ac:dyDescent="0.4">
      <c r="A181" s="5">
        <v>17800</v>
      </c>
      <c r="B181" s="4">
        <v>11.5</v>
      </c>
      <c r="C181" s="23">
        <v>2.1779994964599609</v>
      </c>
      <c r="D181" s="23">
        <v>13.677999496459961</v>
      </c>
      <c r="E181" s="3">
        <v>158</v>
      </c>
      <c r="F181" s="24">
        <v>0.58724722215355452</v>
      </c>
      <c r="G181" s="22">
        <f t="shared" si="4"/>
        <v>31</v>
      </c>
      <c r="H181" s="22">
        <f t="shared" si="5"/>
        <v>189</v>
      </c>
    </row>
    <row r="182" spans="1:8" ht="15.75" customHeight="1" x14ac:dyDescent="0.4">
      <c r="A182" s="5">
        <v>17900</v>
      </c>
      <c r="B182" s="4">
        <v>11.5</v>
      </c>
      <c r="C182" s="23">
        <v>2.3160736560821533</v>
      </c>
      <c r="D182" s="23">
        <v>13.816073417663574</v>
      </c>
      <c r="E182" s="3">
        <v>159</v>
      </c>
      <c r="F182" s="24">
        <v>0.53552417827943921</v>
      </c>
      <c r="G182" s="22">
        <f t="shared" si="4"/>
        <v>30.5</v>
      </c>
      <c r="H182" s="22">
        <f t="shared" si="5"/>
        <v>189.5</v>
      </c>
    </row>
    <row r="183" spans="1:8" ht="15.75" customHeight="1" x14ac:dyDescent="0.4">
      <c r="A183" s="5">
        <v>18000</v>
      </c>
      <c r="B183" s="4">
        <v>11.4</v>
      </c>
      <c r="C183" s="23">
        <v>2.5470061302185059</v>
      </c>
      <c r="D183" s="23">
        <v>13.947006225585938</v>
      </c>
      <c r="E183" s="3">
        <v>160</v>
      </c>
      <c r="F183" s="24">
        <v>0.46436838898130278</v>
      </c>
      <c r="G183" s="22">
        <f t="shared" si="4"/>
        <v>30</v>
      </c>
      <c r="H183" s="22">
        <f t="shared" si="5"/>
        <v>190</v>
      </c>
    </row>
    <row r="184" spans="1:8" ht="15.75" customHeight="1" x14ac:dyDescent="0.4">
      <c r="A184" s="5">
        <v>18100</v>
      </c>
      <c r="B184" s="4">
        <v>11.4</v>
      </c>
      <c r="C184" s="23">
        <v>2.622044563293457</v>
      </c>
      <c r="D184" s="23">
        <v>14.02204418182373</v>
      </c>
      <c r="E184" s="3">
        <v>161</v>
      </c>
      <c r="F184" s="24">
        <v>0.44457755273066979</v>
      </c>
      <c r="G184" s="22">
        <f t="shared" si="4"/>
        <v>29.5</v>
      </c>
      <c r="H184" s="22">
        <f t="shared" si="5"/>
        <v>190.5</v>
      </c>
    </row>
    <row r="185" spans="1:8" ht="15.75" customHeight="1" x14ac:dyDescent="0.4">
      <c r="A185" s="5">
        <v>18200</v>
      </c>
      <c r="B185" s="4">
        <v>11.5</v>
      </c>
      <c r="C185" s="23">
        <v>2.5697650909423828</v>
      </c>
      <c r="D185" s="23">
        <v>14.069765090942383</v>
      </c>
      <c r="E185" s="3">
        <v>162</v>
      </c>
      <c r="F185" s="24">
        <v>0.45821309443488034</v>
      </c>
      <c r="G185" s="22">
        <f t="shared" si="4"/>
        <v>29</v>
      </c>
      <c r="H185" s="22">
        <f t="shared" si="5"/>
        <v>191</v>
      </c>
    </row>
    <row r="186" spans="1:8" ht="15.75" customHeight="1" x14ac:dyDescent="0.4">
      <c r="A186" s="5">
        <v>18300</v>
      </c>
      <c r="B186" s="4">
        <v>11.7</v>
      </c>
      <c r="C186" s="23">
        <v>2.3975164890289307</v>
      </c>
      <c r="D186" s="23">
        <v>14.097516059875488</v>
      </c>
      <c r="E186" s="3">
        <v>163</v>
      </c>
      <c r="F186" s="24">
        <v>0.50846987721774972</v>
      </c>
      <c r="G186" s="22">
        <f t="shared" si="4"/>
        <v>28.5</v>
      </c>
      <c r="H186" s="22">
        <f t="shared" si="5"/>
        <v>191.5</v>
      </c>
    </row>
    <row r="187" spans="1:8" ht="15.75" customHeight="1" x14ac:dyDescent="0.4">
      <c r="A187" s="5">
        <v>18400</v>
      </c>
      <c r="B187" s="4">
        <v>11.9</v>
      </c>
      <c r="C187" s="23">
        <v>2.2370090484619141</v>
      </c>
      <c r="D187" s="23">
        <v>14.137008666992188</v>
      </c>
      <c r="E187" s="3">
        <v>164</v>
      </c>
      <c r="F187" s="24">
        <v>0.56416484780150056</v>
      </c>
      <c r="G187" s="22">
        <f t="shared" si="4"/>
        <v>28</v>
      </c>
      <c r="H187" s="22">
        <f t="shared" si="5"/>
        <v>192</v>
      </c>
    </row>
    <row r="188" spans="1:8" ht="15.75" customHeight="1" x14ac:dyDescent="0.4">
      <c r="A188" s="5">
        <v>18500</v>
      </c>
      <c r="B188" s="4">
        <v>12.1</v>
      </c>
      <c r="C188" s="23">
        <v>2.0938220024108887</v>
      </c>
      <c r="D188" s="23">
        <v>14.193822860717773</v>
      </c>
      <c r="E188" s="3">
        <v>165</v>
      </c>
      <c r="F188" s="24">
        <v>0.62301427099830997</v>
      </c>
      <c r="G188" s="22">
        <f t="shared" si="4"/>
        <v>27.5</v>
      </c>
      <c r="H188" s="22">
        <f t="shared" si="5"/>
        <v>192.5</v>
      </c>
    </row>
    <row r="189" spans="1:8" ht="15.75" customHeight="1" x14ac:dyDescent="0.4">
      <c r="A189" s="5">
        <v>18600</v>
      </c>
      <c r="B189" s="4">
        <v>12.3</v>
      </c>
      <c r="C189" s="23">
        <v>1.9752689599990845</v>
      </c>
      <c r="D189" s="23">
        <v>14.275269508361816</v>
      </c>
      <c r="E189" s="3">
        <v>165</v>
      </c>
      <c r="F189" s="24">
        <v>0.67993637403880081</v>
      </c>
      <c r="G189" s="22">
        <f t="shared" si="4"/>
        <v>27.5</v>
      </c>
      <c r="H189" s="22">
        <f t="shared" si="5"/>
        <v>192.5</v>
      </c>
    </row>
    <row r="190" spans="1:8" ht="15.75" customHeight="1" x14ac:dyDescent="0.4">
      <c r="A190" s="5">
        <v>18700</v>
      </c>
      <c r="B190" s="4">
        <v>12.6</v>
      </c>
      <c r="C190" s="23">
        <v>1.7135794162750244</v>
      </c>
      <c r="D190" s="23">
        <v>14.313579559326172</v>
      </c>
      <c r="E190" s="3">
        <v>165</v>
      </c>
      <c r="F190" s="24">
        <v>0.84149449376207486</v>
      </c>
      <c r="G190" s="22">
        <f t="shared" si="4"/>
        <v>27.5</v>
      </c>
      <c r="H190" s="22">
        <f t="shared" si="5"/>
        <v>192.5</v>
      </c>
    </row>
    <row r="191" spans="1:8" ht="15.75" customHeight="1" x14ac:dyDescent="0.4">
      <c r="A191" s="5">
        <v>18800</v>
      </c>
      <c r="B191" s="4">
        <v>12.9</v>
      </c>
      <c r="C191" s="23">
        <v>1.5672458410263062</v>
      </c>
      <c r="D191" s="23">
        <v>14.467245101928711</v>
      </c>
      <c r="E191" s="3">
        <v>165</v>
      </c>
      <c r="F191" s="24">
        <v>0.96205952687762342</v>
      </c>
      <c r="G191" s="22">
        <f t="shared" si="4"/>
        <v>27.5</v>
      </c>
      <c r="H191" s="22">
        <f t="shared" si="5"/>
        <v>192.5</v>
      </c>
    </row>
    <row r="192" spans="1:8" ht="15.75" customHeight="1" x14ac:dyDescent="0.4">
      <c r="A192" s="5">
        <v>18900</v>
      </c>
      <c r="B192" s="4">
        <v>13.2</v>
      </c>
      <c r="C192" s="23">
        <v>1.597623348236084</v>
      </c>
      <c r="D192" s="23">
        <v>14.797622680664063</v>
      </c>
      <c r="E192" s="3">
        <v>165</v>
      </c>
      <c r="F192" s="24">
        <v>0.93475120864261974</v>
      </c>
      <c r="G192" s="22">
        <f t="shared" si="4"/>
        <v>27.5</v>
      </c>
      <c r="H192" s="22">
        <f t="shared" si="5"/>
        <v>192.5</v>
      </c>
    </row>
    <row r="193" spans="1:8" ht="15.75" customHeight="1" x14ac:dyDescent="0.4">
      <c r="A193" s="5">
        <v>19000</v>
      </c>
      <c r="B193" s="4">
        <v>13.4</v>
      </c>
      <c r="C193" s="23">
        <v>1.7839816808700562</v>
      </c>
      <c r="D193" s="23">
        <v>15.183980941772461</v>
      </c>
      <c r="E193" s="3">
        <v>165</v>
      </c>
      <c r="F193" s="24">
        <v>0.79217666985673907</v>
      </c>
      <c r="G193" s="22">
        <f t="shared" si="4"/>
        <v>27.5</v>
      </c>
      <c r="H193" s="22">
        <f t="shared" si="5"/>
        <v>192.5</v>
      </c>
    </row>
    <row r="194" spans="1:8" ht="15.75" customHeight="1" x14ac:dyDescent="0.4">
      <c r="A194" s="5">
        <v>19100</v>
      </c>
      <c r="B194" s="4">
        <v>13.5</v>
      </c>
      <c r="C194" s="23">
        <v>1.953205943107605</v>
      </c>
      <c r="D194" s="23">
        <v>15.453206062316895</v>
      </c>
      <c r="E194" s="3">
        <v>165</v>
      </c>
      <c r="F194" s="24">
        <v>0.69148948112296182</v>
      </c>
      <c r="G194" s="22">
        <f t="shared" si="4"/>
        <v>27.5</v>
      </c>
      <c r="H194" s="22">
        <f t="shared" si="5"/>
        <v>192.5</v>
      </c>
    </row>
    <row r="195" spans="1:8" ht="15.75" customHeight="1" x14ac:dyDescent="0.4">
      <c r="A195" s="5">
        <v>19200</v>
      </c>
      <c r="B195" s="4">
        <v>13.6</v>
      </c>
      <c r="C195" s="23">
        <v>2.0282008647918701</v>
      </c>
      <c r="D195" s="23">
        <v>15.628201484680176</v>
      </c>
      <c r="E195" s="3">
        <v>165</v>
      </c>
      <c r="F195" s="24">
        <v>0.65349337374453176</v>
      </c>
      <c r="G195" s="22">
        <f t="shared" si="4"/>
        <v>27.5</v>
      </c>
      <c r="H195" s="22">
        <f t="shared" si="5"/>
        <v>192.5</v>
      </c>
    </row>
    <row r="196" spans="1:8" ht="15.75" customHeight="1" x14ac:dyDescent="0.4">
      <c r="A196" s="5">
        <v>19300</v>
      </c>
      <c r="B196" s="4">
        <v>13.7</v>
      </c>
      <c r="C196" s="23">
        <v>2.0755162239074707</v>
      </c>
      <c r="D196" s="23">
        <v>15.775516510009766</v>
      </c>
      <c r="E196" s="3">
        <v>165</v>
      </c>
      <c r="F196" s="24">
        <v>0.63127477365908791</v>
      </c>
      <c r="G196" s="22">
        <f t="shared" ref="G196:G203" si="6">(220-E196)/2</f>
        <v>27.5</v>
      </c>
      <c r="H196" s="22">
        <f t="shared" ref="H196:H203" si="7">-G196+220</f>
        <v>192.5</v>
      </c>
    </row>
    <row r="197" spans="1:8" ht="15.75" customHeight="1" x14ac:dyDescent="0.4">
      <c r="A197" s="5">
        <v>19400</v>
      </c>
      <c r="B197" s="4">
        <v>13.8</v>
      </c>
      <c r="C197" s="23">
        <v>2.1076169013977051</v>
      </c>
      <c r="D197" s="23">
        <v>15.907617568969727</v>
      </c>
      <c r="E197" s="3">
        <v>165</v>
      </c>
      <c r="F197" s="24">
        <v>0.61690760589982763</v>
      </c>
      <c r="G197" s="22">
        <f t="shared" si="6"/>
        <v>27.5</v>
      </c>
      <c r="H197" s="22">
        <f t="shared" si="7"/>
        <v>192.5</v>
      </c>
    </row>
    <row r="198" spans="1:8" ht="15.75" customHeight="1" x14ac:dyDescent="0.4">
      <c r="A198" s="5">
        <v>19500</v>
      </c>
      <c r="B198" s="4">
        <v>13.9</v>
      </c>
      <c r="C198" s="23">
        <v>2.130610466003418</v>
      </c>
      <c r="D198" s="23">
        <v>16.030609130859375</v>
      </c>
      <c r="E198" s="3">
        <v>165</v>
      </c>
      <c r="F198" s="24">
        <v>0.60694809070438538</v>
      </c>
      <c r="G198" s="22">
        <f t="shared" si="6"/>
        <v>27.5</v>
      </c>
      <c r="H198" s="22">
        <f t="shared" si="7"/>
        <v>192.5</v>
      </c>
    </row>
    <row r="199" spans="1:8" ht="15.75" customHeight="1" x14ac:dyDescent="0.4">
      <c r="A199" s="5">
        <v>19600</v>
      </c>
      <c r="B199" s="4">
        <v>14</v>
      </c>
      <c r="C199" s="23">
        <v>2.1476025581359863</v>
      </c>
      <c r="D199" s="23">
        <v>16.147602081298828</v>
      </c>
      <c r="E199" s="3">
        <v>164</v>
      </c>
      <c r="F199" s="24">
        <v>0.5997589875804511</v>
      </c>
      <c r="G199" s="22">
        <f t="shared" si="6"/>
        <v>28</v>
      </c>
      <c r="H199" s="22">
        <f t="shared" si="7"/>
        <v>192</v>
      </c>
    </row>
    <row r="200" spans="1:8" ht="15.75" customHeight="1" x14ac:dyDescent="0.4">
      <c r="A200" s="5">
        <v>19700</v>
      </c>
      <c r="B200" s="4">
        <v>14.1</v>
      </c>
      <c r="C200" s="23">
        <v>2.1604166030883789</v>
      </c>
      <c r="D200" s="23">
        <v>16.260417938232422</v>
      </c>
      <c r="E200" s="3">
        <v>163</v>
      </c>
      <c r="F200" s="24">
        <v>0.59443089622257461</v>
      </c>
      <c r="G200" s="22">
        <f t="shared" si="6"/>
        <v>28.5</v>
      </c>
      <c r="H200" s="22">
        <f t="shared" si="7"/>
        <v>191.5</v>
      </c>
    </row>
    <row r="201" spans="1:8" ht="15.75" customHeight="1" x14ac:dyDescent="0.4">
      <c r="A201" s="5">
        <v>19800</v>
      </c>
      <c r="B201" s="4">
        <v>14.2</v>
      </c>
      <c r="C201" s="23">
        <v>2.1702158451080322</v>
      </c>
      <c r="D201" s="23">
        <v>16.370216369628906</v>
      </c>
      <c r="E201" s="3">
        <v>162</v>
      </c>
      <c r="F201" s="24">
        <v>0.59040936639163377</v>
      </c>
      <c r="G201" s="22">
        <f t="shared" si="6"/>
        <v>29</v>
      </c>
      <c r="H201" s="22">
        <f t="shared" si="7"/>
        <v>191</v>
      </c>
    </row>
    <row r="202" spans="1:8" ht="15.75" customHeight="1" x14ac:dyDescent="0.4">
      <c r="A202" s="5">
        <v>19900</v>
      </c>
      <c r="B202" s="4">
        <v>14.1</v>
      </c>
      <c r="C202" s="23">
        <v>2.4371798038482666</v>
      </c>
      <c r="D202" s="23">
        <v>16.537179946899414</v>
      </c>
      <c r="E202" s="3">
        <v>161</v>
      </c>
      <c r="F202" s="24">
        <v>0.49610805416366849</v>
      </c>
      <c r="G202" s="22">
        <f t="shared" si="6"/>
        <v>29.5</v>
      </c>
      <c r="H202" s="22">
        <f t="shared" si="7"/>
        <v>190.5</v>
      </c>
    </row>
    <row r="203" spans="1:8" ht="15.75" customHeight="1" x14ac:dyDescent="0.4">
      <c r="A203" s="7">
        <v>20000</v>
      </c>
      <c r="B203" s="8">
        <v>14.1</v>
      </c>
      <c r="C203" s="25">
        <v>2.5264718532562256</v>
      </c>
      <c r="D203" s="25">
        <v>16.626472473144531</v>
      </c>
      <c r="E203" s="9">
        <v>160</v>
      </c>
      <c r="F203" s="26">
        <v>0.47004121183723685</v>
      </c>
      <c r="G203" s="22">
        <f t="shared" si="6"/>
        <v>30</v>
      </c>
      <c r="H203" s="22">
        <f t="shared" si="7"/>
        <v>190</v>
      </c>
    </row>
  </sheetData>
  <mergeCells count="1">
    <mergeCell ref="A1:F1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epare">
                <anchor moveWithCells="1" sizeWithCells="1">
                  <from>
                    <xdr:col>9</xdr:col>
                    <xdr:colOff>76200</xdr:colOff>
                    <xdr:row>13</xdr:row>
                    <xdr:rowOff>19050</xdr:rowOff>
                  </from>
                  <to>
                    <xdr:col>10</xdr:col>
                    <xdr:colOff>895350</xdr:colOff>
                    <xdr:row>16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3"/>
  <sheetViews>
    <sheetView topLeftCell="A19" workbookViewId="0">
      <selection activeCell="H33" sqref="H33"/>
    </sheetView>
  </sheetViews>
  <sheetFormatPr defaultRowHeight="19.5" x14ac:dyDescent="0.4"/>
  <cols>
    <col min="1" max="1" width="18.109375" customWidth="1"/>
    <col min="6" max="6" width="10.109375" customWidth="1"/>
    <col min="8" max="8" width="17.77734375" customWidth="1"/>
  </cols>
  <sheetData>
    <row r="1" spans="1:9" x14ac:dyDescent="0.4">
      <c r="A1" s="20" t="s">
        <v>14</v>
      </c>
      <c r="B1" s="19"/>
      <c r="C1" s="19"/>
      <c r="D1" s="19"/>
      <c r="E1" s="19"/>
      <c r="F1" s="19"/>
    </row>
    <row r="2" spans="1:9" x14ac:dyDescent="0.4">
      <c r="A2" s="15" t="s">
        <v>0</v>
      </c>
      <c r="B2" s="16" t="s">
        <v>1</v>
      </c>
      <c r="C2" s="16" t="s">
        <v>2</v>
      </c>
      <c r="D2" s="16" t="s">
        <v>3</v>
      </c>
      <c r="E2" s="16" t="s">
        <v>4</v>
      </c>
      <c r="F2" s="17" t="s">
        <v>5</v>
      </c>
    </row>
    <row r="3" spans="1:9" x14ac:dyDescent="0.4">
      <c r="A3" s="11">
        <v>0</v>
      </c>
      <c r="B3" s="12">
        <v>0</v>
      </c>
      <c r="C3" s="12">
        <v>5</v>
      </c>
      <c r="D3" s="12">
        <v>5</v>
      </c>
      <c r="E3" s="13">
        <v>200</v>
      </c>
      <c r="F3" s="14">
        <v>0.2857142857142857</v>
      </c>
      <c r="H3" t="s">
        <v>6</v>
      </c>
      <c r="I3" s="1">
        <v>0.02</v>
      </c>
    </row>
    <row r="4" spans="1:9" x14ac:dyDescent="0.4">
      <c r="A4" s="5">
        <v>500</v>
      </c>
      <c r="B4" s="4">
        <v>0.5</v>
      </c>
      <c r="C4" s="4">
        <v>4.5696902275085449</v>
      </c>
      <c r="D4" s="4">
        <v>5.0696902275085449</v>
      </c>
      <c r="E4" s="3">
        <v>200</v>
      </c>
      <c r="F4" s="6">
        <v>0.32700682789672131</v>
      </c>
      <c r="H4" t="s">
        <v>7</v>
      </c>
      <c r="I4" s="1">
        <f>1/1000</f>
        <v>1E-3</v>
      </c>
    </row>
    <row r="5" spans="1:9" x14ac:dyDescent="0.4">
      <c r="A5" s="5">
        <v>1000</v>
      </c>
      <c r="B5" s="4">
        <v>1</v>
      </c>
      <c r="C5" s="4">
        <v>4.169395923614502</v>
      </c>
      <c r="D5" s="4">
        <v>5.169395923614502</v>
      </c>
      <c r="E5" s="3">
        <v>200</v>
      </c>
      <c r="F5" s="6">
        <v>0.37521246348579129</v>
      </c>
      <c r="H5" t="s">
        <v>8</v>
      </c>
      <c r="I5" s="1">
        <v>200</v>
      </c>
    </row>
    <row r="6" spans="1:9" x14ac:dyDescent="0.4">
      <c r="A6" s="5">
        <v>1500</v>
      </c>
      <c r="B6" s="4">
        <v>1.5000001192092896</v>
      </c>
      <c r="C6" s="4">
        <v>3.8131656646728516</v>
      </c>
      <c r="D6" s="4">
        <v>5.3131656646728516</v>
      </c>
      <c r="E6" s="3">
        <v>200</v>
      </c>
      <c r="F6" s="6">
        <v>0.42900114513812382</v>
      </c>
      <c r="H6" t="s">
        <v>9</v>
      </c>
      <c r="I6" s="1">
        <v>2000</v>
      </c>
    </row>
    <row r="7" spans="1:9" x14ac:dyDescent="0.4">
      <c r="A7" s="5">
        <v>2000</v>
      </c>
      <c r="B7" s="4">
        <v>2</v>
      </c>
      <c r="C7" s="4">
        <v>3.5183019638061523</v>
      </c>
      <c r="D7" s="4">
        <v>5.5183019638061523</v>
      </c>
      <c r="E7" s="3">
        <v>200</v>
      </c>
      <c r="F7" s="6">
        <v>0.48404673611599086</v>
      </c>
      <c r="H7" t="s">
        <v>10</v>
      </c>
      <c r="I7" s="1">
        <v>500</v>
      </c>
    </row>
    <row r="8" spans="1:9" x14ac:dyDescent="0.4">
      <c r="A8" s="5">
        <v>2500</v>
      </c>
      <c r="B8" s="4">
        <v>2.5</v>
      </c>
      <c r="C8" s="4">
        <v>3.3003489971160889</v>
      </c>
      <c r="D8" s="4">
        <v>5.800349235534668</v>
      </c>
      <c r="E8" s="3">
        <v>200</v>
      </c>
      <c r="F8" s="6">
        <v>0.53277907764150156</v>
      </c>
      <c r="H8" t="s">
        <v>11</v>
      </c>
      <c r="I8" s="1">
        <v>10000</v>
      </c>
    </row>
    <row r="9" spans="1:9" x14ac:dyDescent="0.4">
      <c r="A9" s="5">
        <v>3000</v>
      </c>
      <c r="B9" s="4">
        <v>3.0000002384185791</v>
      </c>
      <c r="C9" s="4">
        <v>3.160743236541748</v>
      </c>
      <c r="D9" s="4">
        <v>6.1607437133789063</v>
      </c>
      <c r="E9" s="3">
        <v>200</v>
      </c>
      <c r="F9" s="6">
        <v>0.56846422193966106</v>
      </c>
      <c r="H9" t="s">
        <v>12</v>
      </c>
      <c r="I9" s="1">
        <v>0</v>
      </c>
    </row>
    <row r="10" spans="1:9" x14ac:dyDescent="0.4">
      <c r="A10" s="5">
        <v>3500</v>
      </c>
      <c r="B10" s="4">
        <v>3.5000002384185791</v>
      </c>
      <c r="C10" s="4">
        <v>3.0850980281829834</v>
      </c>
      <c r="D10" s="4">
        <v>6.5850982666015625</v>
      </c>
      <c r="E10" s="3">
        <v>200</v>
      </c>
      <c r="F10" s="6">
        <v>0.5894995933981324</v>
      </c>
      <c r="H10" t="s">
        <v>13</v>
      </c>
      <c r="I10" s="1">
        <v>5</v>
      </c>
    </row>
    <row r="11" spans="1:9" x14ac:dyDescent="0.4">
      <c r="A11" s="5">
        <v>4000</v>
      </c>
      <c r="B11" s="4">
        <v>4</v>
      </c>
      <c r="C11" s="4">
        <v>3.0496151447296143</v>
      </c>
      <c r="D11" s="4">
        <v>7.0496149063110352</v>
      </c>
      <c r="E11" s="3">
        <v>200</v>
      </c>
      <c r="F11" s="6">
        <v>0.59981788145631376</v>
      </c>
    </row>
    <row r="12" spans="1:9" x14ac:dyDescent="0.4">
      <c r="A12" s="5">
        <v>4500</v>
      </c>
      <c r="B12" s="4">
        <v>4.5</v>
      </c>
      <c r="C12" s="4">
        <v>3.0344631671905518</v>
      </c>
      <c r="D12" s="4">
        <v>7.5344629287719727</v>
      </c>
      <c r="E12" s="3">
        <v>200</v>
      </c>
      <c r="F12" s="6">
        <v>0.60431608877358201</v>
      </c>
    </row>
    <row r="13" spans="1:9" x14ac:dyDescent="0.4">
      <c r="A13" s="5">
        <v>5000</v>
      </c>
      <c r="B13" s="4">
        <v>5</v>
      </c>
      <c r="C13" s="4">
        <v>3.0282995700836182</v>
      </c>
      <c r="D13" s="4">
        <v>8.0282993316650391</v>
      </c>
      <c r="E13" s="3">
        <v>200</v>
      </c>
      <c r="F13" s="6">
        <v>0.60616200367549178</v>
      </c>
    </row>
    <row r="14" spans="1:9" x14ac:dyDescent="0.4">
      <c r="A14" s="5">
        <v>5500</v>
      </c>
      <c r="B14" s="4">
        <v>5.5000004768371582</v>
      </c>
      <c r="C14" s="4">
        <v>3.0258457660675049</v>
      </c>
      <c r="D14" s="4">
        <v>8.5258464813232422</v>
      </c>
      <c r="E14" s="3">
        <v>200</v>
      </c>
      <c r="F14" s="6">
        <v>0.60689950207342769</v>
      </c>
    </row>
    <row r="15" spans="1:9" x14ac:dyDescent="0.4">
      <c r="A15" s="5">
        <v>6000</v>
      </c>
      <c r="B15" s="4">
        <v>6.0000004768371582</v>
      </c>
      <c r="C15" s="4">
        <v>3.0248782634735107</v>
      </c>
      <c r="D15" s="4">
        <v>9.0248785018920898</v>
      </c>
      <c r="E15" s="3">
        <v>200</v>
      </c>
      <c r="F15" s="6">
        <v>0.60719069914358959</v>
      </c>
    </row>
    <row r="16" spans="1:9" x14ac:dyDescent="0.4">
      <c r="A16" s="5">
        <v>6500</v>
      </c>
      <c r="B16" s="4">
        <v>6.5000004768371582</v>
      </c>
      <c r="C16" s="4">
        <v>3.0244977474212646</v>
      </c>
      <c r="D16" s="4">
        <v>9.5244979858398438</v>
      </c>
      <c r="E16" s="3">
        <v>200</v>
      </c>
      <c r="F16" s="6">
        <v>0.60730528994212185</v>
      </c>
    </row>
    <row r="17" spans="1:12" x14ac:dyDescent="0.4">
      <c r="A17" s="5">
        <v>7000</v>
      </c>
      <c r="B17" s="4">
        <v>7.0000004768371582</v>
      </c>
      <c r="C17" s="4">
        <v>3.024348258972168</v>
      </c>
      <c r="D17" s="4">
        <v>10.024349212646484</v>
      </c>
      <c r="E17" s="3">
        <v>200</v>
      </c>
      <c r="F17" s="6">
        <v>0.60735031761749725</v>
      </c>
      <c r="L17" s="18"/>
    </row>
    <row r="18" spans="1:12" x14ac:dyDescent="0.4">
      <c r="A18" s="5">
        <v>7500</v>
      </c>
      <c r="B18" s="4">
        <v>7.5000004768371582</v>
      </c>
      <c r="C18" s="4">
        <v>3.024289608001709</v>
      </c>
      <c r="D18" s="4">
        <v>10.524290084838867</v>
      </c>
      <c r="E18" s="3">
        <v>200</v>
      </c>
      <c r="F18" s="6">
        <v>0.60736798549798765</v>
      </c>
    </row>
    <row r="19" spans="1:12" x14ac:dyDescent="0.4">
      <c r="A19" s="5">
        <v>8000</v>
      </c>
      <c r="B19" s="4">
        <v>8</v>
      </c>
      <c r="C19" s="4">
        <v>3.0242674350738525</v>
      </c>
      <c r="D19" s="4">
        <v>11.024267196655273</v>
      </c>
      <c r="E19" s="3">
        <v>200</v>
      </c>
      <c r="F19" s="6">
        <v>0.60737466504179349</v>
      </c>
    </row>
    <row r="20" spans="1:12" x14ac:dyDescent="0.4">
      <c r="A20" s="5">
        <v>8500</v>
      </c>
      <c r="B20" s="4">
        <v>8.5</v>
      </c>
      <c r="C20" s="4">
        <v>3.0242581367492676</v>
      </c>
      <c r="D20" s="4">
        <v>11.524257659912109</v>
      </c>
      <c r="E20" s="3">
        <v>200</v>
      </c>
      <c r="F20" s="6">
        <v>0.6073774661772452</v>
      </c>
    </row>
    <row r="21" spans="1:12" x14ac:dyDescent="0.4">
      <c r="A21" s="5">
        <v>9000</v>
      </c>
      <c r="B21" s="4">
        <v>9</v>
      </c>
      <c r="C21" s="4">
        <v>3.0242545604705811</v>
      </c>
      <c r="D21" s="4">
        <v>12.02425479888916</v>
      </c>
      <c r="E21" s="3">
        <v>200</v>
      </c>
      <c r="F21" s="6">
        <v>0.60737854354276732</v>
      </c>
    </row>
    <row r="22" spans="1:12" x14ac:dyDescent="0.4">
      <c r="A22" s="5">
        <v>9500</v>
      </c>
      <c r="B22" s="4">
        <v>9.5</v>
      </c>
      <c r="C22" s="4">
        <v>3.0242531299591064</v>
      </c>
      <c r="D22" s="4">
        <v>12.524252891540527</v>
      </c>
      <c r="E22" s="3">
        <v>200</v>
      </c>
      <c r="F22" s="6">
        <v>0.60737897448986811</v>
      </c>
    </row>
    <row r="23" spans="1:12" x14ac:dyDescent="0.4">
      <c r="A23" s="7">
        <v>10000</v>
      </c>
      <c r="B23" s="8">
        <v>10</v>
      </c>
      <c r="C23" s="8">
        <v>3.0242526531219482</v>
      </c>
      <c r="D23" s="8">
        <v>13.024252891540527</v>
      </c>
      <c r="E23" s="9">
        <v>200</v>
      </c>
      <c r="F23" s="10">
        <v>0.60737911813901491</v>
      </c>
    </row>
  </sheetData>
  <mergeCells count="1">
    <mergeCell ref="A1:F1"/>
  </mergeCells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課題１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student</cp:lastModifiedBy>
  <cp:lastPrinted>2020-02-12T03:43:57Z</cp:lastPrinted>
  <dcterms:created xsi:type="dcterms:W3CDTF">2020-02-09T00:51:23Z</dcterms:created>
  <dcterms:modified xsi:type="dcterms:W3CDTF">2020-02-12T03:44:20Z</dcterms:modified>
</cp:coreProperties>
</file>